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Your project" sheetId="1" r:id="rId5"/>
    <sheet state="visible" name="Business brief" sheetId="2" r:id="rId6"/>
    <sheet state="visible" name="Glossary" sheetId="3" r:id="rId7"/>
    <sheet state="visible" name="Master data" sheetId="4" r:id="rId8"/>
  </sheets>
  <definedNames>
    <definedName hidden="1" localSheetId="3" name="_xlnm._FilterDatabase">'Master data'!$A$1:$U$131</definedName>
  </definedNames>
  <calcPr/>
</workbook>
</file>

<file path=xl/sharedStrings.xml><?xml version="1.0" encoding="utf-8"?>
<sst xmlns="http://schemas.openxmlformats.org/spreadsheetml/2006/main" count="154" uniqueCount="105">
  <si>
    <t>Your project</t>
  </si>
  <si>
    <t>HALSTON &amp; REID — Business Brief</t>
  </si>
  <si>
    <t>Halston &amp; Reid — analytics case study</t>
  </si>
  <si>
    <t>Luxury American lifestyle apparel · US market · Weekly sales &amp; marketing data pack</t>
  </si>
  <si>
    <t>The task</t>
  </si>
  <si>
    <t>Brand</t>
  </si>
  <si>
    <t>Glossary — Master data fields</t>
  </si>
  <si>
    <t>week_start_date</t>
  </si>
  <si>
    <t>One row per column in the Master data tab, in the same order.</t>
  </si>
  <si>
    <t>Field</t>
  </si>
  <si>
    <t>Halston &amp; Reid (pseudonym). An American luxury lifestyle apparel house in the tradition of Ralph Lauren: heritage-inspired tailoring, knitwear, outerwear, resort and swim, with a growing accessories line. Positioned as accessible luxury — premium price points with broad aspirational appeal.</t>
  </si>
  <si>
    <t>Category</t>
  </si>
  <si>
    <t>Unit</t>
  </si>
  <si>
    <t>Market &amp; scope of this dataset</t>
  </si>
  <si>
    <t>Definition</t>
  </si>
  <si>
    <t>United States only. Weekly data from the week starting 31 Dec 2023 through the week starting 21 Jun 2026 — 130 consecutive weeks covering two full calendar years (2024 and 2025) plus the first half of 2026. All revenue figures are in USD and are net of returns and discounts. Media spend is gross, in USD.</t>
  </si>
  <si>
    <t>Business model</t>
  </si>
  <si>
    <t xml:space="preserve">Direct-to-consumer, omnichannel. Halston &amp; Reid designs its own collections and sells them through two owned channels: (1) its US e-commerce site (online_transactions / online_revenue) and (2) a network of owned flagship and outlet stores in premium retail locations (store_transactions / store_revenue). There is no wholesale in this dataset. </t>
  </si>
  <si>
    <t>Build a dashboard that summarises the data and tells a clear business story. Explore what you find important: changes over time, patterns in marketing activity, promotional periods, or opportunities for improvement.</t>
  </si>
  <si>
    <t>Dimension</t>
  </si>
  <si>
    <t>Date</t>
  </si>
  <si>
    <t>First day (Sunday) of the reporting week. All metrics in the row are aggregated Sunday–Saturday.</t>
  </si>
  <si>
    <t>total_number_of_orders</t>
  </si>
  <si>
    <t>online_transactions</t>
  </si>
  <si>
    <t>online_revenue</t>
  </si>
  <si>
    <t>Explain your main findings and suggest what the business should do or investigate next.</t>
  </si>
  <si>
    <t>store_transactions</t>
  </si>
  <si>
    <t>store_revenue</t>
  </si>
  <si>
    <t>The data</t>
  </si>
  <si>
    <t>total_revenue</t>
  </si>
  <si>
    <t>Promotions</t>
  </si>
  <si>
    <t>Product_Launches</t>
  </si>
  <si>
    <t>EMAIL_SPEND</t>
  </si>
  <si>
    <t>KPI (secondary)</t>
  </si>
  <si>
    <t>Direct_mail_spend</t>
  </si>
  <si>
    <t>Check the Glossary and Master data tabs in this workbook. The Business brief tab describes the company and its channels.</t>
  </si>
  <si>
    <t>OOH_Spend</t>
  </si>
  <si>
    <t>Print_ATL_Advertising_Spends</t>
  </si>
  <si>
    <t>microsoft_spend</t>
  </si>
  <si>
    <t>google_shopping_spend</t>
  </si>
  <si>
    <t>google_search_spend</t>
  </si>
  <si>
    <t>google_pmax_spend</t>
  </si>
  <si>
    <t>meta_ads_prospecting_spend</t>
  </si>
  <si>
    <t>meta_ads_retargeting_spend</t>
  </si>
  <si>
    <t>How you approach it</t>
  </si>
  <si>
    <t>Customer &amp; price architecture</t>
  </si>
  <si>
    <t>tiktok_prospecting_spend</t>
  </si>
  <si>
    <t>tiktok_retargeting_spend</t>
  </si>
  <si>
    <t>Count</t>
  </si>
  <si>
    <t>Core customer is an affluent 30–55 year-old professional. Average order value is about $550 online (typically $480–$610, peaking near $780 in outerwear and tailoring weeks) and about $440 in store (typically $380–$495; outlet-heavy holiday weeks pull it below $200). AOV has risen each year — online from about $470 in 2024 to $510 in 2025 and $590 in 2026 to date; store from $410 to $430 to $500 — reflecting price increases and a richer mix of full-price hero pieces over basics such as polos, chinos and swim. The brand protects full-price integrity: promotions are short, event-led and flagged in the Promotions column rather than being an always-on discount. Promotions is 1 in 56 of the 130 weeks (43%); Product_Launches is 1 in 33 weeks (25%).</t>
  </si>
  <si>
    <t>Total completed orders in the week across both channels. Formula: online_transactions + store_transactions.</t>
  </si>
  <si>
    <t>Choose your own tools, methods, and visualisations. Document important data checks and assumptions, and distinguish observed relationships from causal claims.</t>
  </si>
  <si>
    <t>Seasonality &amp; commercial calendar</t>
  </si>
  <si>
    <t>KPI component</t>
  </si>
  <si>
    <t>Focus on exploratory analysis, clear reasoning, and business insights. Machine learning models are not required.</t>
  </si>
  <si>
    <t>Completed orders on the Halston &amp; Reid US e-commerce site, net of cancellations.</t>
  </si>
  <si>
    <t>Weekly revenue ranges from roughly $105K to $650K. The rhythm is classic luxury apparel and repeats in both full years: a post-holiday trough in late January–February, a spring/resort build from March, a strong late-spring to early-summer peak (May–June is the biggest month in 2024, 2025 and 2026), a back-to-work spike in late August around Labor Day, the softest weeks of the year in late September–October (the low points are the weeks of 29 Sep 2024, 13 Oct 2024, 28 Sep 2025 and 5 Oct 2025), a November build and the holiday gifting peak in mid-to-late December. 2026 is running well ahead of prior years: the four weeks from 24 May to 21 Jun 2026 are the four highest-revenue weeks in the dataset, all above $530K. Product_Launches marks weeks when a new collection drop or capsule went live; Promotions marks weeks with a brand-wide promotional event (Friends &amp; Family, end-of-season sale, Black Friday / Cyber week).</t>
  </si>
  <si>
    <t>USD</t>
  </si>
  <si>
    <t>You will be evaluated on</t>
  </si>
  <si>
    <t>Net merchandise revenue from online orders, after discounts and returns, excluding shipping and sales tax.</t>
  </si>
  <si>
    <t>Marketing channels in the dataset</t>
  </si>
  <si>
    <t>Completed point-of-sale transactions in owned US flagship and outlet stores.</t>
  </si>
  <si>
    <t>Business understanding</t>
  </si>
  <si>
    <t>Net merchandise revenue from owned-store transactions, after discounts and returns, excluding sales tax.</t>
  </si>
  <si>
    <t>Paid search &amp; shopping (google_search, google_shopping, google_pmax, microsoft); paid social (meta_ads prospecting &amp; retargeting; tiktok prospecting &amp; retargeting); brand / offline (OOH_Spend — out-of-home placements in key metros, bought in monthly flights; Print_ATL_Advertising_Spends — magazine and newspaper placements timed to collection launches); and owned / CRM (EMAIL_SPEND — the email platform cost, near-flat weekly; Direct_mail_spend — printed catalogues and lookbooks mailed to the customer file, heavier ahead of launches and holiday). The data shows several structural changes: OOH ran in monthly flights from February to early December 2024 and has not run since; Google Shopping was paused twice in 2024 (28 Jan–24 Mar and 28 Jul–3 Nov) and then scaled up to become the largest paid channel in 2025–26; Performance Max was scaled back sharply from 2024 ($133K) to 2025 ($41K) and 2026; TikTok was switched on as a test in December 2024, with TikTok retargeting paused from 31 Aug to 7 Dec 2025; the email platform cost stepped from $153 to $157 per week at the end of 2024 and to $178 at the end of 2025; and direct mail reached its heaviest level ($11K per week) in March 2026. Total paid and owned media in this dataset is about 4.1% of revenue (4.8% in 2024, 3.4% in 2025, 4.2% in 2026 to date) — a brand-led, low-intensity mix in which direct mail is the single largest line.</t>
  </si>
  <si>
    <t>What you can summarise about the business, supported by evidence.</t>
  </si>
  <si>
    <t>Media strategy</t>
  </si>
  <si>
    <t>KPI (primary)</t>
  </si>
  <si>
    <t>Always-on search and shopping capture demand; PMax and Meta prospecting build reach against lookalike and interest audiences; Meta and TikTok retargeting re-engage site visitors and lapsed customers. OOH and print are brand-building investments concentrated around launches and the summer resort season. Direct mail is the brand's most distinctive CRM lever and is expected to carry a multi-week lag and a store halo, since catalogue recipients frequently convert in store.</t>
  </si>
  <si>
    <t>Recommendations</t>
  </si>
  <si>
    <t>Total net revenue for the week. Formula: online_revenue + store_revenue (the source-reported total differed from this sum by at most $0.02 in a few weeks due to rounding).</t>
  </si>
  <si>
    <t>KPI definitions</t>
  </si>
  <si>
    <t>Primary KPI: total_revenue (online_revenue + store_revenue). Secondary KPI: total_number_of_orders (online_transactions + store_transactions). Both are computed with formulas in the Master data tab so they always reconcile to their components. In the source extract the reported total_revenue differed from the sum of its two components by at most $0.02 (rounding) in a handful of weeks.</t>
  </si>
  <si>
    <t>Control (binary)</t>
  </si>
  <si>
    <t>Data notes</t>
  </si>
  <si>
    <t>How useful and well-supported your proposed actions or next steps are.</t>
  </si>
  <si>
    <t>0 / 1</t>
  </si>
  <si>
    <t>Figures are the brand's actual weekly extracts, anonymised only by renaming the company. This extract contains spend-based marketing inputs only (no impression or click columns are included), and headers previously labelled fb_ig now read meta_ads. No values have been rescaled or altered. See the Glossary tab for a definition of every field.</t>
  </si>
  <si>
    <t>1 if a brand-wide promotional event was live for any part of the week (Friends &amp; Family, end-of-season sale, Black Friday / Cyber week, Presidents' Day, Memorial Day, Labor Day); 0 otherwise. On in 56 of 130 weeks.</t>
  </si>
  <si>
    <t>Analytical reasoning</t>
  </si>
  <si>
    <t>How well you explain and defend your methods, assumptions, and limitations.</t>
  </si>
  <si>
    <t>1 if a new seasonal collection, capsule or collaboration dropped during the week; 0 otherwise. On in 33 of 130 weeks.</t>
  </si>
  <si>
    <t>Visual storytelling</t>
  </si>
  <si>
    <t>Owned / CRM</t>
  </si>
  <si>
    <t>How clearly your dashboard communicates the findings and is easy to use.</t>
  </si>
  <si>
    <t>Weekly cost of the email service platform and creative production, allocated evenly. Near-flat: $153 per week through 2024, $157 from the week of 29 Dec 2024 and $178 from the week of 28 Dec 2025 (platform tier changes).</t>
  </si>
  <si>
    <t>What to submit</t>
  </si>
  <si>
    <t>Print, postage and list costs for catalogues, lookbooks and mailers sent to the customer file, booked in the week of the mail drop. Never zero; heaviest in March 2026 ($11,063 per week) and June–July 2025.</t>
  </si>
  <si>
    <t>Brand / offline</t>
  </si>
  <si>
    <t>A dashboard, a brief summary of your key findings and recommendations, and supporting analysis with enough instructions to review or run your work. Be ready to walk us through your choices.</t>
  </si>
  <si>
    <t>Out-of-home advertising (billboards, transit, street furniture) in key US metros. Bought in monthly flights, so spend lands in one week and coverage runs for the following weeks. Active from the week of 4 Feb 2024 to the week of 1 Dec 2024 only; zero thereafter.</t>
  </si>
  <si>
    <t>Submission mode</t>
  </si>
  <si>
    <t>Either a hosted link to your dashboard, or a link to your git repo with detailed instructions on how to deploy.</t>
  </si>
  <si>
    <t>Above-the-line print placements (fashion magazines, weekend newspaper supplements). Concentrated in bursts around collection launches and the resort season (e.g. March and May 2024, Feb–Mar 2025, May–Jun 2025, Nov–Dec 2025, March 2026, May–Jun 2026); zero in 101 of 130 weeks.</t>
  </si>
  <si>
    <t>Paid search</t>
  </si>
  <si>
    <t>Spend on Microsoft Advertising (Bing search and shopping).</t>
  </si>
  <si>
    <t>Spend on Google Shopping (standard shopping campaigns with product listing ads). Paused 28 Jan–24 Mar 2024 and 28 Jul–3 Nov 2024; continuous and scaled up from November 2024 onwards.</t>
  </si>
  <si>
    <t>Spend on Google Search text-ad campaigns, brand and non-brand combined.</t>
  </si>
  <si>
    <t>Paid search / performance</t>
  </si>
  <si>
    <t>Spend on Google Performance Max campaigns (automated across Search, Shopping, YouTube, Display, Discover, Gmail, Maps). Scaled back materially after 2024.</t>
  </si>
  <si>
    <t>Paid social</t>
  </si>
  <si>
    <t>Spend on Meta (Facebook + Instagram) campaigns targeting new audiences: lookalike, interest and broad targeting. Formerly labelled fb_ig_prospecting_spend.</t>
  </si>
  <si>
    <t>Spend on Meta (Facebook + Instagram) campaigns targeting site visitors, cart abandoners and the CRM file. Formerly labelled fb_ig_retargeting_spend.</t>
  </si>
  <si>
    <t>Spend on TikTok campaigns targeting new audiences. Channel was launched as a test in the week of 15 Dec 2024; zeros before that mean no activity.</t>
  </si>
  <si>
    <t>Spend on TikTok campaigns re-engaging site visitors and engaged viewers. Launched in the week of 8 Dec 2024; paused from 31 Aug to 7 Dec 2025.</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</si>
</sst>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numFmts>
  <fonts count="9">
    <font>
      <sz val="11.0"/>
      <color theme="1"/>
      <name val="Calibri"/>
      <scheme val="minor"/>
    </font>
    <font>
      <b/>
      <sz val="18.0"/>
      <color rgb="FF1F2A44"/>
      <name val="Arial"/>
    </font>
    <font>
      <b/>
      <sz val="14.0"/>
      <color rgb="FF1F2A44"/>
      <name val="Arial"/>
    </font>
    <font>
      <i/>
      <sz val="11.0"/>
      <color rgb="FF555555"/>
      <name val="Arial"/>
    </font>
    <font>
      <i/>
      <sz val="10.0"/>
      <color rgb="FF555555"/>
      <name val="Arial"/>
    </font>
    <font>
      <b/>
      <sz val="10.0"/>
      <color rgb="FFFFFFFF"/>
      <name val="Arial"/>
    </font>
    <font>
      <sz val="10.0"/>
      <color theme="1"/>
      <name val="Arial"/>
    </font>
    <font/>
    <font>
      <b/>
      <sz val="10.0"/>
      <color theme="1"/>
      <name val="Arial"/>
    </font>
  </fonts>
  <fills count="4">
    <fill>
      <patternFill patternType="none"/>
    </fill>
    <fill>
      <patternFill patternType="lightGray"/>
    </fill>
    <fill>
      <patternFill patternType="solid">
        <fgColor rgb="FF1F2A44"/>
        <bgColor rgb="FF1F2A44"/>
      </patternFill>
    </fill>
    <fill>
      <patternFill patternType="solid">
        <fgColor rgb="FFF3F1EC"/>
        <bgColor rgb="FFF3F1EC"/>
      </patternFill>
    </fill>
  </fills>
  <borders count="5">
    <border/>
    <border>
      <left style="thin">
        <color rgb="FFBFBFBF"/>
      </left>
      <right style="thin">
        <color rgb="FFBFBFBF"/>
      </right>
      <top style="thin">
        <color rgb="FFBFBFBF"/>
      </top>
      <bottom style="thin">
        <color rgb="FFBFBFBF"/>
      </bottom>
    </border>
    <border>
      <left/>
      <top/>
      <bottom/>
    </border>
    <border>
      <right/>
      <top/>
      <bottom/>
    </border>
    <border>
      <left/>
      <right/>
      <top/>
      <bottom/>
    </border>
  </borders>
  <cellStyleXfs count="1">
    <xf borderId="0" fillId="0" fontId="0" numFmtId="0" applyAlignment="1" applyFont="1"/>
  </cellStyleXfs>
  <cellXfs count="22">
    <xf borderId="0" fillId="0" fontId="0" numFmtId="0" xfId="0" applyAlignment="1" applyFont="1">
      <alignment readingOrder="0" shrinkToFit="0" vertical="bottom" wrapText="0"/>
    </xf>
    <xf borderId="0" fillId="0" fontId="1" numFmtId="0" xfId="0" applyAlignment="1" applyFont="1">
      <alignment shrinkToFit="0" vertical="bottom" wrapText="0"/>
    </xf>
    <xf borderId="0" fillId="0" fontId="2" numFmtId="0" xfId="0" applyAlignment="1" applyFont="1">
      <alignment shrinkToFit="0" vertical="bottom" wrapText="0"/>
    </xf>
    <xf borderId="0" fillId="0" fontId="3" numFmtId="0" xfId="0" applyAlignment="1" applyFont="1">
      <alignment shrinkToFit="0" vertical="bottom" wrapText="0"/>
    </xf>
    <xf borderId="0" fillId="0" fontId="4" numFmtId="0" xfId="0" applyAlignment="1" applyFont="1">
      <alignment shrinkToFit="0" vertical="bottom" wrapText="0"/>
    </xf>
    <xf borderId="1" fillId="2" fontId="5" numFmtId="0" xfId="0" applyAlignment="1" applyBorder="1" applyFill="1" applyFont="1">
      <alignment shrinkToFit="0" vertical="top" wrapText="1"/>
    </xf>
    <xf borderId="2" fillId="2" fontId="5" numFmtId="0" xfId="0" applyAlignment="1" applyBorder="1" applyFill="1" applyFont="1">
      <alignment shrinkToFit="0" vertical="center" wrapText="0"/>
    </xf>
    <xf borderId="1" fillId="2" fontId="5" numFmtId="0" xfId="0" applyAlignment="1" applyBorder="1" applyFill="1" applyFont="1">
      <alignment shrinkToFit="0" vertical="center" wrapText="1"/>
    </xf>
    <xf borderId="1" fillId="0" fontId="6" numFmtId="0" xfId="0" applyAlignment="1" applyBorder="1" applyFont="1">
      <alignment shrinkToFit="0" vertical="top" wrapText="1"/>
    </xf>
    <xf borderId="3" fillId="0" fontId="7" numFmtId="0" xfId="0" applyBorder="1" applyFont="1"/>
    <xf borderId="1" fillId="0" fontId="8" numFmtId="0" xfId="0" applyAlignment="1" applyBorder="1" applyFont="1">
      <alignment shrinkToFit="0" vertical="top" wrapText="1"/>
    </xf>
    <xf borderId="1" fillId="2" fontId="5" numFmtId="0" xfId="0" applyAlignment="1" applyBorder="1" applyFill="1" applyFont="1">
      <alignment horizontal="center" shrinkToFit="0" vertical="center" wrapText="1"/>
    </xf>
    <xf borderId="0" fillId="0" fontId="6" numFmtId="0" xfId="0" applyAlignment="1" applyFont="1">
      <alignment shrinkToFit="0" vertical="top" wrapText="1"/>
    </xf>
    <xf borderId="1" fillId="3" fontId="8" numFmtId="0" xfId="0" applyAlignment="1" applyBorder="1" applyFill="1" applyFont="1">
      <alignment shrinkToFit="0" vertical="top" wrapText="1"/>
    </xf>
    <xf borderId="1" fillId="0" fontId="6" numFmtId="0" xfId="0" applyAlignment="1" applyBorder="1" applyFont="1">
      <alignment readingOrder="0" shrinkToFit="0" vertical="top" wrapText="1"/>
    </xf>
    <xf borderId="1" fillId="3" fontId="6" numFmtId="0" xfId="0" applyAlignment="1" applyBorder="1" applyFill="1" applyFont="1">
      <alignment shrinkToFit="0" vertical="top" wrapText="1"/>
    </xf>
    <xf borderId="1" fillId="0" fontId="6" numFmtId="164" xfId="0" applyAlignment="1" applyBorder="1" applyFont="1" applyNumberFormat="1">
      <alignment shrinkToFit="0" vertical="bottom" wrapText="0"/>
    </xf>
    <xf borderId="0" fillId="0" fontId="8" numFmtId="0" xfId="0" applyAlignment="1" applyFont="1">
      <alignment shrinkToFit="0" vertical="top" wrapText="1"/>
    </xf>
    <xf borderId="4" fillId="3" fontId="8" numFmtId="0" xfId="0" applyAlignment="1" applyBorder="1" applyFill="1" applyFont="1">
      <alignment shrinkToFit="0" vertical="top" wrapText="1"/>
    </xf>
    <xf borderId="4" fillId="3" fontId="6" numFmtId="0" xfId="0" applyAlignment="1" applyBorder="1" applyFill="1" applyFont="1">
      <alignment shrinkToFit="0" vertical="top" wrapText="1"/>
    </xf>
    <xf borderId="1" fillId="0" fontId="6" numFmtId="3" xfId="0" applyAlignment="1" applyBorder="1" applyFont="1" applyNumberFormat="1">
      <alignment shrinkToFit="0" vertical="bottom" wrapText="0"/>
    </xf>
    <xf borderId="1" fillId="0" fontId="6" numFmtId="4" xfId="0" applyAlignment="1" applyBorder="1" applyFont="1" applyNumberFormat="1">
      <alignment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3.0"/>
    <col customWidth="1" min="2" max="2" width="28.0"/>
    <col customWidth="1" min="3" max="3" width="100.0"/>
    <col customWidth="1" min="4" max="26" width="8.71"/>
  </cols>
  <sheetData>
    <row r="2" ht="27.75" customHeight="1">
      <c r="B2" s="1" t="s">
        <v>0</v>
      </c>
    </row>
    <row r="3">
      <c r="B3" s="3" t="s">
        <v>2</v>
      </c>
    </row>
    <row r="5" ht="19.5" customHeight="1">
      <c r="B5" s="6" t="s">
        <v>4</v>
      </c>
      <c r="C5" s="9"/>
    </row>
    <row r="6" ht="30.0" customHeight="1">
      <c r="B6" s="12" t="s">
        <v>18</v>
      </c>
    </row>
    <row r="7" ht="15.0" customHeight="1">
      <c r="B7" s="12" t="s">
        <v>25</v>
      </c>
    </row>
    <row r="9" ht="19.5" customHeight="1">
      <c r="B9" s="6" t="s">
        <v>28</v>
      </c>
      <c r="C9" s="9"/>
    </row>
    <row r="10" ht="15.0" customHeight="1">
      <c r="B10" s="12" t="s">
        <v>35</v>
      </c>
    </row>
    <row r="12" ht="19.5" customHeight="1">
      <c r="B12" s="6" t="s">
        <v>44</v>
      </c>
      <c r="C12" s="9"/>
    </row>
    <row r="13" ht="30.0" customHeight="1">
      <c r="B13" s="12" t="s">
        <v>51</v>
      </c>
    </row>
    <row r="14" ht="15.0" customHeight="1">
      <c r="B14" s="12" t="s">
        <v>54</v>
      </c>
    </row>
    <row r="16" ht="19.5" customHeight="1">
      <c r="B16" s="6" t="s">
        <v>58</v>
      </c>
      <c r="C16" s="9"/>
    </row>
    <row r="17" ht="15.0" customHeight="1">
      <c r="B17" s="17" t="s">
        <v>62</v>
      </c>
      <c r="C17" s="12" t="s">
        <v>65</v>
      </c>
    </row>
    <row r="18" ht="15.0" customHeight="1">
      <c r="B18" s="18" t="s">
        <v>69</v>
      </c>
      <c r="C18" s="19" t="s">
        <v>75</v>
      </c>
    </row>
    <row r="19" ht="15.0" customHeight="1">
      <c r="B19" s="17" t="s">
        <v>79</v>
      </c>
      <c r="C19" s="12" t="s">
        <v>80</v>
      </c>
    </row>
    <row r="20" ht="15.0" customHeight="1">
      <c r="B20" s="18" t="s">
        <v>82</v>
      </c>
      <c r="C20" s="19" t="s">
        <v>84</v>
      </c>
    </row>
    <row r="21" ht="15.75" customHeight="1"/>
    <row r="22" ht="19.5" customHeight="1">
      <c r="B22" s="6" t="s">
        <v>86</v>
      </c>
      <c r="C22" s="9"/>
    </row>
    <row r="23" ht="30.0" customHeight="1">
      <c r="B23" s="12" t="s">
        <v>89</v>
      </c>
    </row>
    <row r="24" ht="15.0" customHeight="1">
      <c r="B24" s="17" t="s">
        <v>91</v>
      </c>
      <c r="C24" s="12" t="s">
        <v>92</v>
      </c>
    </row>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1">
    <mergeCell ref="B14:C14"/>
    <mergeCell ref="B16:C16"/>
    <mergeCell ref="B22:C22"/>
    <mergeCell ref="B23:C23"/>
    <mergeCell ref="B5:C5"/>
    <mergeCell ref="B6:C6"/>
    <mergeCell ref="B7:C7"/>
    <mergeCell ref="B9:C9"/>
    <mergeCell ref="B10:C10"/>
    <mergeCell ref="B12:C12"/>
    <mergeCell ref="B13:C13"/>
  </mergeCells>
  <printOptions/>
  <pageMargins bottom="1.0" footer="0.0" header="0.0" left="0.75" right="0.75" top="1.0"/>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30.0"/>
    <col customWidth="1" min="2" max="2" width="110.0"/>
    <col customWidth="1" min="3" max="26" width="8.71"/>
  </cols>
  <sheetData>
    <row r="1">
      <c r="A1" s="2" t="s">
        <v>1</v>
      </c>
    </row>
    <row r="2">
      <c r="A2" s="4" t="s">
        <v>3</v>
      </c>
    </row>
    <row r="4" ht="45.0" customHeight="1">
      <c r="A4" s="5" t="s">
        <v>5</v>
      </c>
      <c r="B4" s="8" t="s">
        <v>10</v>
      </c>
    </row>
    <row r="5" ht="45.0" customHeight="1">
      <c r="A5" s="5" t="s">
        <v>13</v>
      </c>
      <c r="B5" s="8" t="s">
        <v>15</v>
      </c>
    </row>
    <row r="6" ht="105.0" customHeight="1">
      <c r="A6" s="5" t="s">
        <v>16</v>
      </c>
      <c r="B6" s="14" t="s">
        <v>17</v>
      </c>
    </row>
    <row r="7" ht="120.0" customHeight="1">
      <c r="A7" s="5" t="s">
        <v>45</v>
      </c>
      <c r="B7" s="8" t="s">
        <v>49</v>
      </c>
    </row>
    <row r="8" ht="135.0" customHeight="1">
      <c r="A8" s="5" t="s">
        <v>52</v>
      </c>
      <c r="B8" s="8" t="s">
        <v>56</v>
      </c>
    </row>
    <row r="9" ht="210.0" customHeight="1">
      <c r="A9" s="5" t="s">
        <v>60</v>
      </c>
      <c r="B9" s="8" t="s">
        <v>64</v>
      </c>
    </row>
    <row r="10" ht="75.0" customHeight="1">
      <c r="A10" s="5" t="s">
        <v>66</v>
      </c>
      <c r="B10" s="8" t="s">
        <v>68</v>
      </c>
    </row>
    <row r="11" ht="60.0" customHeight="1">
      <c r="A11" s="5" t="s">
        <v>71</v>
      </c>
      <c r="B11" s="8" t="s">
        <v>72</v>
      </c>
    </row>
    <row r="12" ht="60.0" customHeight="1">
      <c r="A12" s="5" t="s">
        <v>74</v>
      </c>
      <c r="B12" s="8" t="s">
        <v>77</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4.0" topLeftCell="A5" activePane="bottomLeft" state="frozen"/>
      <selection activeCell="B6" sqref="B6" pane="bottomLeft"/>
    </sheetView>
  </sheetViews>
  <sheetFormatPr customHeight="1" defaultColWidth="14.43" defaultRowHeight="15.0"/>
  <cols>
    <col customWidth="1" min="1" max="1" width="32.0"/>
    <col customWidth="1" min="2" max="2" width="22.0"/>
    <col customWidth="1" min="3" max="3" width="10.0"/>
    <col customWidth="1" min="4" max="4" width="95.0"/>
    <col customWidth="1" min="5" max="26" width="8.71"/>
  </cols>
  <sheetData>
    <row r="1">
      <c r="A1" s="2" t="s">
        <v>6</v>
      </c>
    </row>
    <row r="2">
      <c r="A2" s="4" t="s">
        <v>8</v>
      </c>
    </row>
    <row r="4">
      <c r="A4" s="7" t="s">
        <v>9</v>
      </c>
      <c r="B4" s="7" t="s">
        <v>11</v>
      </c>
      <c r="C4" s="7" t="s">
        <v>12</v>
      </c>
      <c r="D4" s="7" t="s">
        <v>14</v>
      </c>
    </row>
    <row r="5" ht="30.0" customHeight="1">
      <c r="A5" s="10" t="s">
        <v>7</v>
      </c>
      <c r="B5" s="8" t="s">
        <v>19</v>
      </c>
      <c r="C5" s="8" t="s">
        <v>20</v>
      </c>
      <c r="D5" s="8" t="s">
        <v>21</v>
      </c>
    </row>
    <row r="6" ht="30.0" customHeight="1">
      <c r="A6" s="13" t="s">
        <v>22</v>
      </c>
      <c r="B6" s="15" t="s">
        <v>33</v>
      </c>
      <c r="C6" s="15" t="s">
        <v>48</v>
      </c>
      <c r="D6" s="15" t="s">
        <v>50</v>
      </c>
    </row>
    <row r="7" ht="15.0" customHeight="1">
      <c r="A7" s="10" t="s">
        <v>23</v>
      </c>
      <c r="B7" s="8" t="s">
        <v>53</v>
      </c>
      <c r="C7" s="8" t="s">
        <v>48</v>
      </c>
      <c r="D7" s="8" t="s">
        <v>55</v>
      </c>
    </row>
    <row r="8" ht="30.0" customHeight="1">
      <c r="A8" s="13" t="s">
        <v>24</v>
      </c>
      <c r="B8" s="15" t="s">
        <v>53</v>
      </c>
      <c r="C8" s="15" t="s">
        <v>57</v>
      </c>
      <c r="D8" s="15" t="s">
        <v>59</v>
      </c>
    </row>
    <row r="9" ht="15.0" customHeight="1">
      <c r="A9" s="10" t="s">
        <v>26</v>
      </c>
      <c r="B9" s="8" t="s">
        <v>53</v>
      </c>
      <c r="C9" s="8" t="s">
        <v>48</v>
      </c>
      <c r="D9" s="8" t="s">
        <v>61</v>
      </c>
    </row>
    <row r="10" ht="30.0" customHeight="1">
      <c r="A10" s="13" t="s">
        <v>27</v>
      </c>
      <c r="B10" s="15" t="s">
        <v>53</v>
      </c>
      <c r="C10" s="15" t="s">
        <v>57</v>
      </c>
      <c r="D10" s="15" t="s">
        <v>63</v>
      </c>
    </row>
    <row r="11" ht="30.0" customHeight="1">
      <c r="A11" s="10" t="s">
        <v>29</v>
      </c>
      <c r="B11" s="8" t="s">
        <v>67</v>
      </c>
      <c r="C11" s="8" t="s">
        <v>57</v>
      </c>
      <c r="D11" s="8" t="s">
        <v>70</v>
      </c>
    </row>
    <row r="12" ht="45.0" customHeight="1">
      <c r="A12" s="13" t="s">
        <v>30</v>
      </c>
      <c r="B12" s="15" t="s">
        <v>73</v>
      </c>
      <c r="C12" s="15" t="s">
        <v>76</v>
      </c>
      <c r="D12" s="15" t="s">
        <v>78</v>
      </c>
    </row>
    <row r="13" ht="30.0" customHeight="1">
      <c r="A13" s="10" t="s">
        <v>31</v>
      </c>
      <c r="B13" s="8" t="s">
        <v>73</v>
      </c>
      <c r="C13" s="8" t="s">
        <v>76</v>
      </c>
      <c r="D13" s="8" t="s">
        <v>81</v>
      </c>
    </row>
    <row r="14" ht="45.0" customHeight="1">
      <c r="A14" s="13" t="s">
        <v>32</v>
      </c>
      <c r="B14" s="15" t="s">
        <v>83</v>
      </c>
      <c r="C14" s="15" t="s">
        <v>57</v>
      </c>
      <c r="D14" s="15" t="s">
        <v>85</v>
      </c>
    </row>
    <row r="15" ht="45.0" customHeight="1">
      <c r="A15" s="10" t="s">
        <v>34</v>
      </c>
      <c r="B15" s="8" t="s">
        <v>83</v>
      </c>
      <c r="C15" s="8" t="s">
        <v>57</v>
      </c>
      <c r="D15" s="8" t="s">
        <v>87</v>
      </c>
    </row>
    <row r="16" ht="45.0" customHeight="1">
      <c r="A16" s="13" t="s">
        <v>36</v>
      </c>
      <c r="B16" s="15" t="s">
        <v>88</v>
      </c>
      <c r="C16" s="15" t="s">
        <v>57</v>
      </c>
      <c r="D16" s="15" t="s">
        <v>90</v>
      </c>
    </row>
    <row r="17" ht="45.0" customHeight="1">
      <c r="A17" s="10" t="s">
        <v>37</v>
      </c>
      <c r="B17" s="8" t="s">
        <v>88</v>
      </c>
      <c r="C17" s="8" t="s">
        <v>57</v>
      </c>
      <c r="D17" s="8" t="s">
        <v>93</v>
      </c>
    </row>
    <row r="18" ht="15.0" customHeight="1">
      <c r="A18" s="13" t="s">
        <v>38</v>
      </c>
      <c r="B18" s="15" t="s">
        <v>94</v>
      </c>
      <c r="C18" s="15" t="s">
        <v>57</v>
      </c>
      <c r="D18" s="15" t="s">
        <v>95</v>
      </c>
    </row>
    <row r="19" ht="30.0" customHeight="1">
      <c r="A19" s="10" t="s">
        <v>39</v>
      </c>
      <c r="B19" s="8" t="s">
        <v>94</v>
      </c>
      <c r="C19" s="8" t="s">
        <v>57</v>
      </c>
      <c r="D19" s="8" t="s">
        <v>96</v>
      </c>
    </row>
    <row r="20" ht="15.0" customHeight="1">
      <c r="A20" s="13" t="s">
        <v>40</v>
      </c>
      <c r="B20" s="15" t="s">
        <v>94</v>
      </c>
      <c r="C20" s="15" t="s">
        <v>57</v>
      </c>
      <c r="D20" s="15" t="s">
        <v>97</v>
      </c>
    </row>
    <row r="21" ht="30.0" customHeight="1">
      <c r="A21" s="10" t="s">
        <v>41</v>
      </c>
      <c r="B21" s="8" t="s">
        <v>98</v>
      </c>
      <c r="C21" s="8" t="s">
        <v>57</v>
      </c>
      <c r="D21" s="8" t="s">
        <v>99</v>
      </c>
    </row>
    <row r="22" ht="30.0" customHeight="1">
      <c r="A22" s="13" t="s">
        <v>42</v>
      </c>
      <c r="B22" s="15" t="s">
        <v>100</v>
      </c>
      <c r="C22" s="15" t="s">
        <v>57</v>
      </c>
      <c r="D22" s="15" t="s">
        <v>101</v>
      </c>
    </row>
    <row r="23" ht="30.0" customHeight="1">
      <c r="A23" s="10" t="s">
        <v>43</v>
      </c>
      <c r="B23" s="8" t="s">
        <v>100</v>
      </c>
      <c r="C23" s="8" t="s">
        <v>57</v>
      </c>
      <c r="D23" s="8" t="s">
        <v>102</v>
      </c>
    </row>
    <row r="24" ht="30.0" customHeight="1">
      <c r="A24" s="13" t="s">
        <v>46</v>
      </c>
      <c r="B24" s="15" t="s">
        <v>100</v>
      </c>
      <c r="C24" s="15" t="s">
        <v>57</v>
      </c>
      <c r="D24" s="15" t="s">
        <v>103</v>
      </c>
    </row>
    <row r="25" ht="30.0" customHeight="1">
      <c r="A25" s="10" t="s">
        <v>47</v>
      </c>
      <c r="B25" s="8" t="s">
        <v>100</v>
      </c>
      <c r="C25" s="8" t="s">
        <v>57</v>
      </c>
      <c r="D25" s="8" t="s">
        <v>104</v>
      </c>
    </row>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4.43" defaultRowHeight="15.0"/>
  <cols>
    <col customWidth="1" min="1" max="21" width="14.0"/>
    <col customWidth="1" min="22" max="26" width="8.71"/>
  </cols>
  <sheetData>
    <row r="1" ht="42.0" customHeight="1">
      <c r="A1" s="11" t="s">
        <v>7</v>
      </c>
      <c r="B1" s="11" t="s">
        <v>22</v>
      </c>
      <c r="C1" s="11" t="s">
        <v>23</v>
      </c>
      <c r="D1" s="11" t="s">
        <v>24</v>
      </c>
      <c r="E1" s="11" t="s">
        <v>26</v>
      </c>
      <c r="F1" s="11" t="s">
        <v>27</v>
      </c>
      <c r="G1" s="11" t="s">
        <v>29</v>
      </c>
      <c r="H1" s="11" t="s">
        <v>30</v>
      </c>
      <c r="I1" s="11" t="s">
        <v>31</v>
      </c>
      <c r="J1" s="11" t="s">
        <v>32</v>
      </c>
      <c r="K1" s="11" t="s">
        <v>34</v>
      </c>
      <c r="L1" s="11" t="s">
        <v>36</v>
      </c>
      <c r="M1" s="11" t="s">
        <v>37</v>
      </c>
      <c r="N1" s="11" t="s">
        <v>38</v>
      </c>
      <c r="O1" s="11" t="s">
        <v>39</v>
      </c>
      <c r="P1" s="11" t="s">
        <v>40</v>
      </c>
      <c r="Q1" s="11" t="s">
        <v>41</v>
      </c>
      <c r="R1" s="11" t="s">
        <v>42</v>
      </c>
      <c r="S1" s="11" t="s">
        <v>43</v>
      </c>
      <c r="T1" s="11" t="s">
        <v>46</v>
      </c>
      <c r="U1" s="11" t="s">
        <v>47</v>
      </c>
    </row>
    <row r="2">
      <c r="A2" s="16">
        <v>45291.0</v>
      </c>
      <c r="B2" s="20">
        <f t="shared" ref="B2:B131" si="1">C2+E2</f>
        <v>835</v>
      </c>
      <c r="C2" s="20">
        <v>635.0</v>
      </c>
      <c r="D2" s="21">
        <v>220893.99</v>
      </c>
      <c r="E2" s="20">
        <v>200.0</v>
      </c>
      <c r="F2" s="21">
        <v>47995.37</v>
      </c>
      <c r="G2" s="21">
        <f t="shared" ref="G2:G131" si="2">D2+F2</f>
        <v>268889.36</v>
      </c>
      <c r="H2" s="20">
        <v>1.0</v>
      </c>
      <c r="I2" s="20">
        <v>0.0</v>
      </c>
      <c r="J2" s="21">
        <v>153.0</v>
      </c>
      <c r="K2" s="21">
        <v>580.0</v>
      </c>
      <c r="L2" s="21">
        <v>0.0</v>
      </c>
      <c r="M2" s="21">
        <v>0.0</v>
      </c>
      <c r="N2" s="21">
        <v>6.31</v>
      </c>
      <c r="O2" s="21">
        <v>3759.13</v>
      </c>
      <c r="P2" s="21">
        <v>1023.25</v>
      </c>
      <c r="Q2" s="21">
        <v>3031.705523</v>
      </c>
      <c r="R2" s="21">
        <v>1538.68</v>
      </c>
      <c r="S2" s="21">
        <v>4458.06</v>
      </c>
      <c r="T2" s="21">
        <v>0.0</v>
      </c>
      <c r="U2" s="21">
        <v>0.0</v>
      </c>
    </row>
    <row r="3">
      <c r="A3" s="16">
        <v>45298.0</v>
      </c>
      <c r="B3" s="20">
        <f t="shared" si="1"/>
        <v>904</v>
      </c>
      <c r="C3" s="20">
        <v>712.0</v>
      </c>
      <c r="D3" s="21">
        <v>240288.79</v>
      </c>
      <c r="E3" s="20">
        <v>192.0</v>
      </c>
      <c r="F3" s="21">
        <v>49301.3</v>
      </c>
      <c r="G3" s="21">
        <f t="shared" si="2"/>
        <v>289590.09</v>
      </c>
      <c r="H3" s="20">
        <v>1.0</v>
      </c>
      <c r="I3" s="20">
        <v>0.0</v>
      </c>
      <c r="J3" s="21">
        <v>153.0</v>
      </c>
      <c r="K3" s="21">
        <v>580.0</v>
      </c>
      <c r="L3" s="21">
        <v>0.0</v>
      </c>
      <c r="M3" s="21">
        <v>0.0</v>
      </c>
      <c r="N3" s="21">
        <v>46.6705449</v>
      </c>
      <c r="O3" s="21">
        <v>2932.33</v>
      </c>
      <c r="P3" s="21">
        <v>909.0</v>
      </c>
      <c r="Q3" s="21">
        <v>2362.480671</v>
      </c>
      <c r="R3" s="21">
        <v>1133.08</v>
      </c>
      <c r="S3" s="21">
        <v>4057.15</v>
      </c>
      <c r="T3" s="21">
        <v>0.0</v>
      </c>
      <c r="U3" s="21">
        <v>0.0</v>
      </c>
    </row>
    <row r="4">
      <c r="A4" s="16">
        <v>45305.0</v>
      </c>
      <c r="B4" s="20">
        <f t="shared" si="1"/>
        <v>706</v>
      </c>
      <c r="C4" s="20">
        <v>521.0</v>
      </c>
      <c r="D4" s="21">
        <v>184286.1</v>
      </c>
      <c r="E4" s="20">
        <v>185.0</v>
      </c>
      <c r="F4" s="21">
        <v>51219.44</v>
      </c>
      <c r="G4" s="21">
        <f t="shared" si="2"/>
        <v>235505.54</v>
      </c>
      <c r="H4" s="20">
        <v>0.0</v>
      </c>
      <c r="I4" s="20">
        <v>0.0</v>
      </c>
      <c r="J4" s="21">
        <v>153.0</v>
      </c>
      <c r="K4" s="21">
        <v>580.0</v>
      </c>
      <c r="L4" s="21">
        <v>0.0</v>
      </c>
      <c r="M4" s="21">
        <v>0.0</v>
      </c>
      <c r="N4" s="21">
        <v>51.42979069</v>
      </c>
      <c r="O4" s="21">
        <v>442.74</v>
      </c>
      <c r="P4" s="21">
        <v>1040.730674</v>
      </c>
      <c r="Q4" s="21">
        <v>523.493965</v>
      </c>
      <c r="R4" s="21">
        <v>714.87</v>
      </c>
      <c r="S4" s="21">
        <v>2153.91</v>
      </c>
      <c r="T4" s="21">
        <v>0.0</v>
      </c>
      <c r="U4" s="21">
        <v>0.0</v>
      </c>
    </row>
    <row r="5">
      <c r="A5" s="16">
        <v>45312.0</v>
      </c>
      <c r="B5" s="20">
        <f t="shared" si="1"/>
        <v>559</v>
      </c>
      <c r="C5" s="20">
        <v>395.0</v>
      </c>
      <c r="D5" s="21">
        <v>156014.26</v>
      </c>
      <c r="E5" s="20">
        <v>164.0</v>
      </c>
      <c r="F5" s="21">
        <v>52863.67</v>
      </c>
      <c r="G5" s="21">
        <f t="shared" si="2"/>
        <v>208877.93</v>
      </c>
      <c r="H5" s="20">
        <v>1.0</v>
      </c>
      <c r="I5" s="20">
        <v>0.0</v>
      </c>
      <c r="J5" s="21">
        <v>153.0</v>
      </c>
      <c r="K5" s="21">
        <v>580.0</v>
      </c>
      <c r="L5" s="21">
        <v>0.0</v>
      </c>
      <c r="M5" s="21">
        <v>0.0</v>
      </c>
      <c r="N5" s="21">
        <v>38.64883054</v>
      </c>
      <c r="O5" s="21">
        <v>51.48</v>
      </c>
      <c r="P5" s="21">
        <v>828.581614</v>
      </c>
      <c r="Q5" s="21">
        <v>1435.271052</v>
      </c>
      <c r="R5" s="21">
        <v>20.81</v>
      </c>
      <c r="S5" s="21">
        <v>715.92</v>
      </c>
      <c r="T5" s="21">
        <v>0.0</v>
      </c>
      <c r="U5" s="21">
        <v>0.0</v>
      </c>
    </row>
    <row r="6">
      <c r="A6" s="16">
        <v>45319.0</v>
      </c>
      <c r="B6" s="20">
        <f t="shared" si="1"/>
        <v>250</v>
      </c>
      <c r="C6" s="20">
        <v>106.0</v>
      </c>
      <c r="D6" s="21">
        <v>64768.32</v>
      </c>
      <c r="E6" s="20">
        <v>144.0</v>
      </c>
      <c r="F6" s="21">
        <v>54838.81</v>
      </c>
      <c r="G6" s="21">
        <f t="shared" si="2"/>
        <v>119607.13</v>
      </c>
      <c r="H6" s="20">
        <v>0.0</v>
      </c>
      <c r="I6" s="20">
        <v>1.0</v>
      </c>
      <c r="J6" s="21">
        <v>153.0</v>
      </c>
      <c r="K6" s="21">
        <v>2593.0</v>
      </c>
      <c r="L6" s="21">
        <v>0.0</v>
      </c>
      <c r="M6" s="21">
        <v>0.0</v>
      </c>
      <c r="N6" s="21">
        <v>65.55299291</v>
      </c>
      <c r="O6" s="21">
        <v>0.0</v>
      </c>
      <c r="P6" s="21">
        <v>864.65</v>
      </c>
      <c r="Q6" s="21">
        <v>1257.861224</v>
      </c>
      <c r="R6" s="21">
        <v>2014.14</v>
      </c>
      <c r="S6" s="21">
        <v>574.75</v>
      </c>
      <c r="T6" s="21">
        <v>0.0</v>
      </c>
      <c r="U6" s="21">
        <v>0.0</v>
      </c>
    </row>
    <row r="7">
      <c r="A7" s="16">
        <v>45326.0</v>
      </c>
      <c r="B7" s="20">
        <f t="shared" si="1"/>
        <v>311</v>
      </c>
      <c r="C7" s="20">
        <v>140.0</v>
      </c>
      <c r="D7" s="21">
        <v>76540.65</v>
      </c>
      <c r="E7" s="20">
        <v>171.0</v>
      </c>
      <c r="F7" s="21">
        <v>89392.87</v>
      </c>
      <c r="G7" s="21">
        <f t="shared" si="2"/>
        <v>165933.52</v>
      </c>
      <c r="H7" s="20">
        <v>0.0</v>
      </c>
      <c r="I7" s="20">
        <v>1.0</v>
      </c>
      <c r="J7" s="21">
        <v>153.0</v>
      </c>
      <c r="K7" s="21">
        <v>2593.0</v>
      </c>
      <c r="L7" s="21">
        <v>2143.0</v>
      </c>
      <c r="M7" s="21">
        <v>0.0</v>
      </c>
      <c r="N7" s="21">
        <v>75.80025021</v>
      </c>
      <c r="O7" s="21">
        <v>0.0</v>
      </c>
      <c r="P7" s="21">
        <v>970.51</v>
      </c>
      <c r="Q7" s="21">
        <v>156.417089</v>
      </c>
      <c r="R7" s="21">
        <v>3426.03</v>
      </c>
      <c r="S7" s="21">
        <v>333.95</v>
      </c>
      <c r="T7" s="21">
        <v>0.0</v>
      </c>
      <c r="U7" s="21">
        <v>0.0</v>
      </c>
    </row>
    <row r="8">
      <c r="A8" s="16">
        <v>45333.0</v>
      </c>
      <c r="B8" s="20">
        <f t="shared" si="1"/>
        <v>356</v>
      </c>
      <c r="C8" s="20">
        <v>122.0</v>
      </c>
      <c r="D8" s="21">
        <v>81829.0</v>
      </c>
      <c r="E8" s="20">
        <v>234.0</v>
      </c>
      <c r="F8" s="21">
        <v>99149.65</v>
      </c>
      <c r="G8" s="21">
        <f t="shared" si="2"/>
        <v>180978.65</v>
      </c>
      <c r="H8" s="20">
        <v>0.0</v>
      </c>
      <c r="I8" s="20">
        <v>0.0</v>
      </c>
      <c r="J8" s="21">
        <v>153.0</v>
      </c>
      <c r="K8" s="21">
        <v>2593.0</v>
      </c>
      <c r="L8" s="21">
        <v>0.0</v>
      </c>
      <c r="M8" s="21">
        <v>0.0</v>
      </c>
      <c r="N8" s="21">
        <v>62.87446472</v>
      </c>
      <c r="O8" s="21">
        <v>0.0</v>
      </c>
      <c r="P8" s="21">
        <v>859.92</v>
      </c>
      <c r="Q8" s="21">
        <v>586.283011</v>
      </c>
      <c r="R8" s="21">
        <v>3504.7</v>
      </c>
      <c r="S8" s="21">
        <v>568.83</v>
      </c>
      <c r="T8" s="21">
        <v>0.0</v>
      </c>
      <c r="U8" s="21">
        <v>0.0</v>
      </c>
    </row>
    <row r="9">
      <c r="A9" s="16">
        <v>45340.0</v>
      </c>
      <c r="B9" s="20">
        <f t="shared" si="1"/>
        <v>352</v>
      </c>
      <c r="C9" s="20">
        <v>136.0</v>
      </c>
      <c r="D9" s="21">
        <v>75561.94</v>
      </c>
      <c r="E9" s="20">
        <v>216.0</v>
      </c>
      <c r="F9" s="21">
        <v>85293.62</v>
      </c>
      <c r="G9" s="21">
        <f t="shared" si="2"/>
        <v>160855.56</v>
      </c>
      <c r="H9" s="20">
        <v>0.0</v>
      </c>
      <c r="I9" s="20">
        <v>0.0</v>
      </c>
      <c r="J9" s="21">
        <v>153.0</v>
      </c>
      <c r="K9" s="21">
        <v>2593.0</v>
      </c>
      <c r="L9" s="21">
        <v>0.0</v>
      </c>
      <c r="M9" s="21">
        <v>0.0</v>
      </c>
      <c r="N9" s="21">
        <v>44.18053468</v>
      </c>
      <c r="O9" s="21">
        <v>0.0</v>
      </c>
      <c r="P9" s="21">
        <v>902.67</v>
      </c>
      <c r="Q9" s="21">
        <v>1306.935553</v>
      </c>
      <c r="R9" s="21">
        <v>3564.11</v>
      </c>
      <c r="S9" s="21">
        <v>833.68</v>
      </c>
      <c r="T9" s="21">
        <v>0.0</v>
      </c>
      <c r="U9" s="21">
        <v>0.0</v>
      </c>
    </row>
    <row r="10">
      <c r="A10" s="16">
        <v>45347.0</v>
      </c>
      <c r="B10" s="20">
        <f t="shared" si="1"/>
        <v>331</v>
      </c>
      <c r="C10" s="20">
        <v>129.0</v>
      </c>
      <c r="D10" s="21">
        <v>81595.94</v>
      </c>
      <c r="E10" s="20">
        <v>202.0</v>
      </c>
      <c r="F10" s="21">
        <v>84424.65</v>
      </c>
      <c r="G10" s="21">
        <f t="shared" si="2"/>
        <v>166020.59</v>
      </c>
      <c r="H10" s="20">
        <v>0.0</v>
      </c>
      <c r="I10" s="20">
        <v>0.0</v>
      </c>
      <c r="J10" s="21">
        <v>153.0</v>
      </c>
      <c r="K10" s="21">
        <v>2527.0</v>
      </c>
      <c r="L10" s="21">
        <v>0.0</v>
      </c>
      <c r="M10" s="21">
        <v>0.0</v>
      </c>
      <c r="N10" s="21">
        <v>48.35056512</v>
      </c>
      <c r="O10" s="21">
        <v>0.0</v>
      </c>
      <c r="P10" s="21">
        <v>954.05</v>
      </c>
      <c r="Q10" s="21">
        <v>1967.812819</v>
      </c>
      <c r="R10" s="21">
        <v>3899.54</v>
      </c>
      <c r="S10" s="21">
        <v>867.08</v>
      </c>
      <c r="T10" s="21">
        <v>0.0</v>
      </c>
      <c r="U10" s="21">
        <v>0.0</v>
      </c>
    </row>
    <row r="11">
      <c r="A11" s="16">
        <v>45354.0</v>
      </c>
      <c r="B11" s="20">
        <f t="shared" si="1"/>
        <v>361</v>
      </c>
      <c r="C11" s="20">
        <v>150.0</v>
      </c>
      <c r="D11" s="21">
        <v>85579.53</v>
      </c>
      <c r="E11" s="20">
        <v>211.0</v>
      </c>
      <c r="F11" s="21">
        <v>84670.49</v>
      </c>
      <c r="G11" s="21">
        <f t="shared" si="2"/>
        <v>170250.02</v>
      </c>
      <c r="H11" s="20">
        <v>0.0</v>
      </c>
      <c r="I11" s="20">
        <v>0.0</v>
      </c>
      <c r="J11" s="21">
        <v>153.0</v>
      </c>
      <c r="K11" s="21">
        <v>2527.0</v>
      </c>
      <c r="L11" s="21">
        <v>2143.0</v>
      </c>
      <c r="M11" s="21">
        <v>11931.0</v>
      </c>
      <c r="N11" s="21">
        <v>44.97527415</v>
      </c>
      <c r="O11" s="21">
        <v>0.0</v>
      </c>
      <c r="P11" s="21">
        <v>1053.53</v>
      </c>
      <c r="Q11" s="21">
        <v>1844.870407</v>
      </c>
      <c r="R11" s="21">
        <v>4768.33</v>
      </c>
      <c r="S11" s="21">
        <v>1417.22</v>
      </c>
      <c r="T11" s="21">
        <v>0.0</v>
      </c>
      <c r="U11" s="21">
        <v>0.0</v>
      </c>
    </row>
    <row r="12">
      <c r="A12" s="16">
        <v>45361.0</v>
      </c>
      <c r="B12" s="20">
        <f t="shared" si="1"/>
        <v>446</v>
      </c>
      <c r="C12" s="20">
        <v>182.0</v>
      </c>
      <c r="D12" s="21">
        <v>93544.27</v>
      </c>
      <c r="E12" s="20">
        <v>264.0</v>
      </c>
      <c r="F12" s="21">
        <v>117507.18</v>
      </c>
      <c r="G12" s="21">
        <f t="shared" si="2"/>
        <v>211051.45</v>
      </c>
      <c r="H12" s="20">
        <v>1.0</v>
      </c>
      <c r="I12" s="20">
        <v>0.0</v>
      </c>
      <c r="J12" s="21">
        <v>153.0</v>
      </c>
      <c r="K12" s="21">
        <v>281.0</v>
      </c>
      <c r="L12" s="21">
        <v>0.0</v>
      </c>
      <c r="M12" s="21">
        <v>0.0</v>
      </c>
      <c r="N12" s="21">
        <v>49.31537897</v>
      </c>
      <c r="O12" s="21">
        <v>0.0</v>
      </c>
      <c r="P12" s="21">
        <v>970.74</v>
      </c>
      <c r="Q12" s="21">
        <v>2199.10042</v>
      </c>
      <c r="R12" s="21">
        <v>3074.25</v>
      </c>
      <c r="S12" s="21">
        <v>762.93</v>
      </c>
      <c r="T12" s="21">
        <v>0.0</v>
      </c>
      <c r="U12" s="21">
        <v>0.0</v>
      </c>
    </row>
    <row r="13">
      <c r="A13" s="16">
        <v>45368.0</v>
      </c>
      <c r="B13" s="20">
        <f t="shared" si="1"/>
        <v>416</v>
      </c>
      <c r="C13" s="20">
        <v>186.0</v>
      </c>
      <c r="D13" s="21">
        <v>93439.43</v>
      </c>
      <c r="E13" s="20">
        <v>230.0</v>
      </c>
      <c r="F13" s="21">
        <v>80284.19</v>
      </c>
      <c r="G13" s="21">
        <f t="shared" si="2"/>
        <v>173723.62</v>
      </c>
      <c r="H13" s="20">
        <v>1.0</v>
      </c>
      <c r="I13" s="20">
        <v>0.0</v>
      </c>
      <c r="J13" s="21">
        <v>153.0</v>
      </c>
      <c r="K13" s="21">
        <v>281.0</v>
      </c>
      <c r="L13" s="21">
        <v>0.0</v>
      </c>
      <c r="M13" s="21">
        <v>0.0</v>
      </c>
      <c r="N13" s="21">
        <v>74.28704846</v>
      </c>
      <c r="O13" s="21">
        <v>0.0</v>
      </c>
      <c r="P13" s="21">
        <v>1104.19</v>
      </c>
      <c r="Q13" s="21">
        <v>2142.349632</v>
      </c>
      <c r="R13" s="21">
        <v>3106.68</v>
      </c>
      <c r="S13" s="21">
        <v>1477.95</v>
      </c>
      <c r="T13" s="21">
        <v>0.0</v>
      </c>
      <c r="U13" s="21">
        <v>0.0</v>
      </c>
    </row>
    <row r="14">
      <c r="A14" s="16">
        <v>45375.0</v>
      </c>
      <c r="B14" s="20">
        <f t="shared" si="1"/>
        <v>506</v>
      </c>
      <c r="C14" s="20">
        <v>192.0</v>
      </c>
      <c r="D14" s="21">
        <v>109524.86</v>
      </c>
      <c r="E14" s="20">
        <v>314.0</v>
      </c>
      <c r="F14" s="21">
        <v>143497.06</v>
      </c>
      <c r="G14" s="21">
        <f t="shared" si="2"/>
        <v>253021.92</v>
      </c>
      <c r="H14" s="20">
        <v>1.0</v>
      </c>
      <c r="I14" s="20">
        <v>0.0</v>
      </c>
      <c r="J14" s="21">
        <v>153.0</v>
      </c>
      <c r="K14" s="21">
        <v>281.0</v>
      </c>
      <c r="L14" s="21">
        <v>0.0</v>
      </c>
      <c r="M14" s="21">
        <v>0.0</v>
      </c>
      <c r="N14" s="21">
        <v>54.51534694</v>
      </c>
      <c r="O14" s="21">
        <v>0.0</v>
      </c>
      <c r="P14" s="21">
        <v>1089.26</v>
      </c>
      <c r="Q14" s="21">
        <v>1361.314553</v>
      </c>
      <c r="R14" s="21">
        <v>3052.01</v>
      </c>
      <c r="S14" s="21">
        <v>1915.99</v>
      </c>
      <c r="T14" s="21">
        <v>0.0</v>
      </c>
      <c r="U14" s="21">
        <v>0.0</v>
      </c>
    </row>
    <row r="15">
      <c r="A15" s="16">
        <v>45382.0</v>
      </c>
      <c r="B15" s="20">
        <f t="shared" si="1"/>
        <v>457</v>
      </c>
      <c r="C15" s="20">
        <v>193.0</v>
      </c>
      <c r="D15" s="21">
        <v>98796.73</v>
      </c>
      <c r="E15" s="20">
        <v>264.0</v>
      </c>
      <c r="F15" s="21">
        <v>113274.92</v>
      </c>
      <c r="G15" s="21">
        <f t="shared" si="2"/>
        <v>212071.65</v>
      </c>
      <c r="H15" s="20">
        <v>1.0</v>
      </c>
      <c r="I15" s="20">
        <v>0.0</v>
      </c>
      <c r="J15" s="21">
        <v>153.0</v>
      </c>
      <c r="K15" s="21">
        <v>806.0</v>
      </c>
      <c r="L15" s="21">
        <v>2143.0</v>
      </c>
      <c r="M15" s="21">
        <v>0.0</v>
      </c>
      <c r="N15" s="21">
        <v>62.14048647</v>
      </c>
      <c r="O15" s="21">
        <v>1.87</v>
      </c>
      <c r="P15" s="21">
        <v>1106.01</v>
      </c>
      <c r="Q15" s="21">
        <v>1164.578509</v>
      </c>
      <c r="R15" s="21">
        <v>4283.58</v>
      </c>
      <c r="S15" s="21">
        <v>1768.6</v>
      </c>
      <c r="T15" s="21">
        <v>0.0</v>
      </c>
      <c r="U15" s="21">
        <v>0.0</v>
      </c>
    </row>
    <row r="16">
      <c r="A16" s="16">
        <v>45389.0</v>
      </c>
      <c r="B16" s="20">
        <f t="shared" si="1"/>
        <v>442</v>
      </c>
      <c r="C16" s="20">
        <v>186.0</v>
      </c>
      <c r="D16" s="21">
        <v>107687.41</v>
      </c>
      <c r="E16" s="20">
        <v>256.0</v>
      </c>
      <c r="F16" s="21">
        <v>109387.58</v>
      </c>
      <c r="G16" s="21">
        <f t="shared" si="2"/>
        <v>217074.99</v>
      </c>
      <c r="H16" s="20">
        <v>1.0</v>
      </c>
      <c r="I16" s="20">
        <v>0.0</v>
      </c>
      <c r="J16" s="21">
        <v>153.0</v>
      </c>
      <c r="K16" s="21">
        <v>806.0</v>
      </c>
      <c r="L16" s="21">
        <v>0.0</v>
      </c>
      <c r="M16" s="21">
        <v>0.0</v>
      </c>
      <c r="N16" s="21">
        <v>65.16930221</v>
      </c>
      <c r="O16" s="21">
        <v>496.49</v>
      </c>
      <c r="P16" s="21">
        <v>1191.77</v>
      </c>
      <c r="Q16" s="21">
        <v>3487.501945</v>
      </c>
      <c r="R16" s="21">
        <v>3109.4</v>
      </c>
      <c r="S16" s="21">
        <v>1649.6</v>
      </c>
      <c r="T16" s="21">
        <v>0.0</v>
      </c>
      <c r="U16" s="21">
        <v>0.0</v>
      </c>
    </row>
    <row r="17">
      <c r="A17" s="16">
        <v>45396.0</v>
      </c>
      <c r="B17" s="20">
        <f t="shared" si="1"/>
        <v>415</v>
      </c>
      <c r="C17" s="20">
        <v>168.0</v>
      </c>
      <c r="D17" s="21">
        <v>74669.3</v>
      </c>
      <c r="E17" s="20">
        <v>247.0</v>
      </c>
      <c r="F17" s="21">
        <v>124202.82</v>
      </c>
      <c r="G17" s="21">
        <f t="shared" si="2"/>
        <v>198872.12</v>
      </c>
      <c r="H17" s="20">
        <v>0.0</v>
      </c>
      <c r="I17" s="20">
        <v>0.0</v>
      </c>
      <c r="J17" s="21">
        <v>153.0</v>
      </c>
      <c r="K17" s="21">
        <v>806.0</v>
      </c>
      <c r="L17" s="21">
        <v>0.0</v>
      </c>
      <c r="M17" s="21">
        <v>0.0</v>
      </c>
      <c r="N17" s="21">
        <v>88.70936271</v>
      </c>
      <c r="O17" s="21">
        <v>392.73</v>
      </c>
      <c r="P17" s="21">
        <v>1295.504881</v>
      </c>
      <c r="Q17" s="21">
        <v>3152.544321</v>
      </c>
      <c r="R17" s="21">
        <v>1210.56</v>
      </c>
      <c r="S17" s="21">
        <v>1594.48</v>
      </c>
      <c r="T17" s="21">
        <v>0.0</v>
      </c>
      <c r="U17" s="21">
        <v>0.0</v>
      </c>
    </row>
    <row r="18">
      <c r="A18" s="16">
        <v>45403.0</v>
      </c>
      <c r="B18" s="20">
        <f t="shared" si="1"/>
        <v>406</v>
      </c>
      <c r="C18" s="20">
        <v>192.0</v>
      </c>
      <c r="D18" s="21">
        <v>106308.03</v>
      </c>
      <c r="E18" s="20">
        <v>214.0</v>
      </c>
      <c r="F18" s="21">
        <v>106122.44</v>
      </c>
      <c r="G18" s="21">
        <f t="shared" si="2"/>
        <v>212430.47</v>
      </c>
      <c r="H18" s="20">
        <v>0.0</v>
      </c>
      <c r="I18" s="20">
        <v>1.0</v>
      </c>
      <c r="J18" s="21">
        <v>153.0</v>
      </c>
      <c r="K18" s="21">
        <v>806.0</v>
      </c>
      <c r="L18" s="21">
        <v>0.0</v>
      </c>
      <c r="M18" s="21">
        <v>0.0</v>
      </c>
      <c r="N18" s="21">
        <v>81.37160196</v>
      </c>
      <c r="O18" s="21">
        <v>472.96</v>
      </c>
      <c r="P18" s="21">
        <v>1090.59</v>
      </c>
      <c r="Q18" s="21">
        <v>5583.939745</v>
      </c>
      <c r="R18" s="21">
        <v>1719.12</v>
      </c>
      <c r="S18" s="21">
        <v>1650.49</v>
      </c>
      <c r="T18" s="21">
        <v>0.0</v>
      </c>
      <c r="U18" s="21">
        <v>0.0</v>
      </c>
    </row>
    <row r="19">
      <c r="A19" s="16">
        <v>45410.0</v>
      </c>
      <c r="B19" s="20">
        <f t="shared" si="1"/>
        <v>536</v>
      </c>
      <c r="C19" s="20">
        <v>245.0</v>
      </c>
      <c r="D19" s="21">
        <v>146093.31</v>
      </c>
      <c r="E19" s="20">
        <v>291.0</v>
      </c>
      <c r="F19" s="21">
        <v>116204.95</v>
      </c>
      <c r="G19" s="21">
        <f t="shared" si="2"/>
        <v>262298.26</v>
      </c>
      <c r="H19" s="20">
        <v>0.0</v>
      </c>
      <c r="I19" s="20">
        <v>1.0</v>
      </c>
      <c r="J19" s="21">
        <v>153.0</v>
      </c>
      <c r="K19" s="21">
        <v>765.0</v>
      </c>
      <c r="L19" s="21">
        <v>0.0</v>
      </c>
      <c r="M19" s="21">
        <v>1100.0</v>
      </c>
      <c r="N19" s="21">
        <v>55.36072763</v>
      </c>
      <c r="O19" s="21">
        <v>598.67</v>
      </c>
      <c r="P19" s="21">
        <v>1713.66</v>
      </c>
      <c r="Q19" s="21">
        <v>1167.083318</v>
      </c>
      <c r="R19" s="21">
        <v>2144.52</v>
      </c>
      <c r="S19" s="21">
        <v>2374.65</v>
      </c>
      <c r="T19" s="21">
        <v>0.0</v>
      </c>
      <c r="U19" s="21">
        <v>0.0</v>
      </c>
    </row>
    <row r="20">
      <c r="A20" s="16">
        <v>45417.0</v>
      </c>
      <c r="B20" s="20">
        <f t="shared" si="1"/>
        <v>650</v>
      </c>
      <c r="C20" s="20">
        <v>351.0</v>
      </c>
      <c r="D20" s="21">
        <v>184689.98</v>
      </c>
      <c r="E20" s="20">
        <v>299.0</v>
      </c>
      <c r="F20" s="21">
        <v>141232.87</v>
      </c>
      <c r="G20" s="21">
        <f t="shared" si="2"/>
        <v>325922.85</v>
      </c>
      <c r="H20" s="20">
        <v>1.0</v>
      </c>
      <c r="I20" s="20">
        <v>0.0</v>
      </c>
      <c r="J20" s="21">
        <v>153.0</v>
      </c>
      <c r="K20" s="21">
        <v>2746.0</v>
      </c>
      <c r="L20" s="21">
        <v>2143.0</v>
      </c>
      <c r="M20" s="21">
        <v>24588.0</v>
      </c>
      <c r="N20" s="21">
        <v>117.0908258</v>
      </c>
      <c r="O20" s="21">
        <v>972.18</v>
      </c>
      <c r="P20" s="21">
        <v>2469.09</v>
      </c>
      <c r="Q20" s="21">
        <v>560.477476</v>
      </c>
      <c r="R20" s="21">
        <v>1528.05</v>
      </c>
      <c r="S20" s="21">
        <v>2023.16</v>
      </c>
      <c r="T20" s="21">
        <v>0.0</v>
      </c>
      <c r="U20" s="21">
        <v>0.0</v>
      </c>
    </row>
    <row r="21" ht="15.75" customHeight="1">
      <c r="A21" s="16">
        <v>45424.0</v>
      </c>
      <c r="B21" s="20">
        <f t="shared" si="1"/>
        <v>668</v>
      </c>
      <c r="C21" s="20">
        <v>368.0</v>
      </c>
      <c r="D21" s="21">
        <v>177576.62</v>
      </c>
      <c r="E21" s="20">
        <v>300.0</v>
      </c>
      <c r="F21" s="21">
        <v>113133.39</v>
      </c>
      <c r="G21" s="21">
        <f t="shared" si="2"/>
        <v>290710.01</v>
      </c>
      <c r="H21" s="20">
        <v>0.0</v>
      </c>
      <c r="I21" s="20">
        <v>0.0</v>
      </c>
      <c r="J21" s="21">
        <v>153.0</v>
      </c>
      <c r="K21" s="21">
        <v>2746.0</v>
      </c>
      <c r="L21" s="21">
        <v>0.0</v>
      </c>
      <c r="M21" s="21">
        <v>1100.0</v>
      </c>
      <c r="N21" s="21">
        <v>75.30033991</v>
      </c>
      <c r="O21" s="21">
        <v>1686.18</v>
      </c>
      <c r="P21" s="21">
        <v>2847.87</v>
      </c>
      <c r="Q21" s="21">
        <v>5455.63294</v>
      </c>
      <c r="R21" s="21">
        <v>1481.93</v>
      </c>
      <c r="S21" s="21">
        <v>2044.44</v>
      </c>
      <c r="T21" s="21">
        <v>0.0</v>
      </c>
      <c r="U21" s="21">
        <v>0.0</v>
      </c>
    </row>
    <row r="22" ht="15.75" customHeight="1">
      <c r="A22" s="16">
        <v>45431.0</v>
      </c>
      <c r="B22" s="20">
        <f t="shared" si="1"/>
        <v>728</v>
      </c>
      <c r="C22" s="20">
        <v>342.0</v>
      </c>
      <c r="D22" s="21">
        <v>187073.31</v>
      </c>
      <c r="E22" s="20">
        <v>386.0</v>
      </c>
      <c r="F22" s="21">
        <v>169493.98</v>
      </c>
      <c r="G22" s="21">
        <f t="shared" si="2"/>
        <v>356567.29</v>
      </c>
      <c r="H22" s="20">
        <v>0.0</v>
      </c>
      <c r="I22" s="20">
        <v>0.0</v>
      </c>
      <c r="J22" s="21">
        <v>153.0</v>
      </c>
      <c r="K22" s="21">
        <v>2746.0</v>
      </c>
      <c r="L22" s="21">
        <v>0.0</v>
      </c>
      <c r="M22" s="21">
        <v>1100.0</v>
      </c>
      <c r="N22" s="21">
        <v>78.6793143</v>
      </c>
      <c r="O22" s="21">
        <v>1099.83</v>
      </c>
      <c r="P22" s="21">
        <v>3146.5</v>
      </c>
      <c r="Q22" s="21">
        <v>2597.619339</v>
      </c>
      <c r="R22" s="21">
        <v>1874.66</v>
      </c>
      <c r="S22" s="21">
        <v>2683.49</v>
      </c>
      <c r="T22" s="21">
        <v>0.0</v>
      </c>
      <c r="U22" s="21">
        <v>0.0</v>
      </c>
    </row>
    <row r="23" ht="15.75" customHeight="1">
      <c r="A23" s="16">
        <v>45438.0</v>
      </c>
      <c r="B23" s="20">
        <f t="shared" si="1"/>
        <v>693</v>
      </c>
      <c r="C23" s="20">
        <v>346.0</v>
      </c>
      <c r="D23" s="21">
        <v>167025.37</v>
      </c>
      <c r="E23" s="20">
        <v>347.0</v>
      </c>
      <c r="F23" s="21">
        <v>158807.49</v>
      </c>
      <c r="G23" s="21">
        <f t="shared" si="2"/>
        <v>325832.86</v>
      </c>
      <c r="H23" s="20">
        <v>1.0</v>
      </c>
      <c r="I23" s="20">
        <v>1.0</v>
      </c>
      <c r="J23" s="21">
        <v>153.0</v>
      </c>
      <c r="K23" s="21">
        <v>6023.0</v>
      </c>
      <c r="L23" s="21">
        <v>0.0</v>
      </c>
      <c r="M23" s="21">
        <v>1100.0</v>
      </c>
      <c r="N23" s="21">
        <v>98.9787656</v>
      </c>
      <c r="O23" s="21">
        <v>591.93</v>
      </c>
      <c r="P23" s="21">
        <v>2935.77</v>
      </c>
      <c r="Q23" s="21">
        <v>860.890369</v>
      </c>
      <c r="R23" s="21">
        <v>1878.36</v>
      </c>
      <c r="S23" s="21">
        <v>2471.99</v>
      </c>
      <c r="T23" s="21">
        <v>0.0</v>
      </c>
      <c r="U23" s="21">
        <v>0.0</v>
      </c>
    </row>
    <row r="24" ht="15.75" customHeight="1">
      <c r="A24" s="16">
        <v>45445.0</v>
      </c>
      <c r="B24" s="20">
        <f t="shared" si="1"/>
        <v>714</v>
      </c>
      <c r="C24" s="20">
        <v>357.0</v>
      </c>
      <c r="D24" s="21">
        <v>194896.0</v>
      </c>
      <c r="E24" s="20">
        <v>357.0</v>
      </c>
      <c r="F24" s="21">
        <v>145148.82</v>
      </c>
      <c r="G24" s="21">
        <f t="shared" si="2"/>
        <v>340044.82</v>
      </c>
      <c r="H24" s="20">
        <v>0.0</v>
      </c>
      <c r="I24" s="20">
        <v>1.0</v>
      </c>
      <c r="J24" s="21">
        <v>153.0</v>
      </c>
      <c r="K24" s="21">
        <v>6023.0</v>
      </c>
      <c r="L24" s="21">
        <v>2143.0</v>
      </c>
      <c r="M24" s="21">
        <v>0.0</v>
      </c>
      <c r="N24" s="21">
        <v>85.77543912</v>
      </c>
      <c r="O24" s="21">
        <v>320.74</v>
      </c>
      <c r="P24" s="21">
        <v>2911.829614</v>
      </c>
      <c r="Q24" s="21">
        <v>2691.015613</v>
      </c>
      <c r="R24" s="21">
        <v>1314.52</v>
      </c>
      <c r="S24" s="21">
        <v>2227.78</v>
      </c>
      <c r="T24" s="21">
        <v>0.0</v>
      </c>
      <c r="U24" s="21">
        <v>0.0</v>
      </c>
    </row>
    <row r="25" ht="15.75" customHeight="1">
      <c r="A25" s="16">
        <v>45452.0</v>
      </c>
      <c r="B25" s="20">
        <f t="shared" si="1"/>
        <v>982</v>
      </c>
      <c r="C25" s="20">
        <v>506.0</v>
      </c>
      <c r="D25" s="21">
        <v>256988.91</v>
      </c>
      <c r="E25" s="20">
        <v>476.0</v>
      </c>
      <c r="F25" s="21">
        <v>200613.06</v>
      </c>
      <c r="G25" s="21">
        <f t="shared" si="2"/>
        <v>457601.97</v>
      </c>
      <c r="H25" s="20">
        <v>1.0</v>
      </c>
      <c r="I25" s="20">
        <v>0.0</v>
      </c>
      <c r="J25" s="21">
        <v>153.0</v>
      </c>
      <c r="K25" s="21">
        <v>6023.0</v>
      </c>
      <c r="L25" s="21">
        <v>6429.0</v>
      </c>
      <c r="M25" s="21">
        <v>0.0</v>
      </c>
      <c r="N25" s="21">
        <v>110.5107366</v>
      </c>
      <c r="O25" s="21">
        <v>149.51</v>
      </c>
      <c r="P25" s="21">
        <v>2185.426204</v>
      </c>
      <c r="Q25" s="21">
        <v>6315.801253</v>
      </c>
      <c r="R25" s="21">
        <v>1955.63</v>
      </c>
      <c r="S25" s="21">
        <v>1514.56</v>
      </c>
      <c r="T25" s="21">
        <v>0.0</v>
      </c>
      <c r="U25" s="21">
        <v>0.0</v>
      </c>
    </row>
    <row r="26" ht="15.75" customHeight="1">
      <c r="A26" s="16">
        <v>45459.0</v>
      </c>
      <c r="B26" s="20">
        <f t="shared" si="1"/>
        <v>940</v>
      </c>
      <c r="C26" s="20">
        <v>469.0</v>
      </c>
      <c r="D26" s="21">
        <v>235766.24</v>
      </c>
      <c r="E26" s="20">
        <v>471.0</v>
      </c>
      <c r="F26" s="21">
        <v>191376.48</v>
      </c>
      <c r="G26" s="21">
        <f t="shared" si="2"/>
        <v>427142.72</v>
      </c>
      <c r="H26" s="20">
        <v>0.0</v>
      </c>
      <c r="I26" s="20">
        <v>0.0</v>
      </c>
      <c r="J26" s="21">
        <v>153.0</v>
      </c>
      <c r="K26" s="21">
        <v>8712.0</v>
      </c>
      <c r="L26" s="21">
        <v>15001.0</v>
      </c>
      <c r="M26" s="21">
        <v>0.0</v>
      </c>
      <c r="N26" s="21">
        <v>85.5197272</v>
      </c>
      <c r="O26" s="21">
        <v>0.0</v>
      </c>
      <c r="P26" s="21">
        <v>3033.734168</v>
      </c>
      <c r="Q26" s="21">
        <v>5047.833641</v>
      </c>
      <c r="R26" s="21">
        <v>2550.46</v>
      </c>
      <c r="S26" s="21">
        <v>1032.59</v>
      </c>
      <c r="T26" s="21">
        <v>0.0</v>
      </c>
      <c r="U26" s="21">
        <v>0.0</v>
      </c>
    </row>
    <row r="27" ht="15.75" customHeight="1">
      <c r="A27" s="16">
        <v>45466.0</v>
      </c>
      <c r="B27" s="20">
        <f t="shared" si="1"/>
        <v>941</v>
      </c>
      <c r="C27" s="20">
        <v>434.0</v>
      </c>
      <c r="D27" s="21">
        <v>216535.33</v>
      </c>
      <c r="E27" s="20">
        <v>507.0</v>
      </c>
      <c r="F27" s="21">
        <v>196426.22</v>
      </c>
      <c r="G27" s="21">
        <f t="shared" si="2"/>
        <v>412961.55</v>
      </c>
      <c r="H27" s="20">
        <v>0.0</v>
      </c>
      <c r="I27" s="20">
        <v>0.0</v>
      </c>
      <c r="J27" s="21">
        <v>153.0</v>
      </c>
      <c r="K27" s="21">
        <v>8712.0</v>
      </c>
      <c r="L27" s="21">
        <v>15001.0</v>
      </c>
      <c r="M27" s="21">
        <v>0.0</v>
      </c>
      <c r="N27" s="21">
        <v>101.4802367</v>
      </c>
      <c r="O27" s="21">
        <v>4.15</v>
      </c>
      <c r="P27" s="21">
        <v>3584.190477</v>
      </c>
      <c r="Q27" s="21">
        <v>6912.181369</v>
      </c>
      <c r="R27" s="21">
        <v>2852.84</v>
      </c>
      <c r="S27" s="21">
        <v>1186.74</v>
      </c>
      <c r="T27" s="21">
        <v>0.0</v>
      </c>
      <c r="U27" s="21">
        <v>0.0</v>
      </c>
    </row>
    <row r="28" ht="15.75" customHeight="1">
      <c r="A28" s="16">
        <v>45473.0</v>
      </c>
      <c r="B28" s="20">
        <f t="shared" si="1"/>
        <v>894</v>
      </c>
      <c r="C28" s="20">
        <v>442.0</v>
      </c>
      <c r="D28" s="21">
        <v>216122.63</v>
      </c>
      <c r="E28" s="20">
        <v>452.0</v>
      </c>
      <c r="F28" s="21">
        <v>188537.5</v>
      </c>
      <c r="G28" s="21">
        <f t="shared" si="2"/>
        <v>404660.13</v>
      </c>
      <c r="H28" s="20">
        <v>0.0</v>
      </c>
      <c r="I28" s="20">
        <v>0.0</v>
      </c>
      <c r="J28" s="21">
        <v>153.0</v>
      </c>
      <c r="K28" s="21">
        <v>5621.0</v>
      </c>
      <c r="L28" s="21">
        <v>2143.0</v>
      </c>
      <c r="M28" s="21">
        <v>0.0</v>
      </c>
      <c r="N28" s="21">
        <v>95.72553937</v>
      </c>
      <c r="O28" s="21">
        <v>32.68</v>
      </c>
      <c r="P28" s="21">
        <v>2469.603198</v>
      </c>
      <c r="Q28" s="21">
        <v>5095.144724</v>
      </c>
      <c r="R28" s="21">
        <v>1663.89</v>
      </c>
      <c r="S28" s="21">
        <v>431.59</v>
      </c>
      <c r="T28" s="21">
        <v>0.0</v>
      </c>
      <c r="U28" s="21">
        <v>0.0</v>
      </c>
    </row>
    <row r="29" ht="15.75" customHeight="1">
      <c r="A29" s="16">
        <v>45480.0</v>
      </c>
      <c r="B29" s="20">
        <f t="shared" si="1"/>
        <v>693</v>
      </c>
      <c r="C29" s="20">
        <v>312.0</v>
      </c>
      <c r="D29" s="21">
        <v>153348.25</v>
      </c>
      <c r="E29" s="20">
        <v>381.0</v>
      </c>
      <c r="F29" s="21">
        <v>140245.78</v>
      </c>
      <c r="G29" s="21">
        <f t="shared" si="2"/>
        <v>293594.03</v>
      </c>
      <c r="H29" s="20">
        <v>1.0</v>
      </c>
      <c r="I29" s="20">
        <v>0.0</v>
      </c>
      <c r="J29" s="21">
        <v>153.0</v>
      </c>
      <c r="K29" s="21">
        <v>5621.0</v>
      </c>
      <c r="L29" s="21">
        <v>0.0</v>
      </c>
      <c r="M29" s="21">
        <v>0.0</v>
      </c>
      <c r="N29" s="21">
        <v>102.6557689</v>
      </c>
      <c r="O29" s="21">
        <v>79.52</v>
      </c>
      <c r="P29" s="21">
        <v>1848.182314</v>
      </c>
      <c r="Q29" s="21">
        <v>3681.193846</v>
      </c>
      <c r="R29" s="21">
        <v>1685.57</v>
      </c>
      <c r="S29" s="21">
        <v>611.05</v>
      </c>
      <c r="T29" s="21">
        <v>0.0</v>
      </c>
      <c r="U29" s="21">
        <v>0.0</v>
      </c>
    </row>
    <row r="30" ht="15.75" customHeight="1">
      <c r="A30" s="16">
        <v>45487.0</v>
      </c>
      <c r="B30" s="20">
        <f t="shared" si="1"/>
        <v>695</v>
      </c>
      <c r="C30" s="20">
        <v>325.0</v>
      </c>
      <c r="D30" s="21">
        <v>171480.87</v>
      </c>
      <c r="E30" s="20">
        <v>370.0</v>
      </c>
      <c r="F30" s="21">
        <v>153031.8</v>
      </c>
      <c r="G30" s="21">
        <f t="shared" si="2"/>
        <v>324512.67</v>
      </c>
      <c r="H30" s="20">
        <v>1.0</v>
      </c>
      <c r="I30" s="20">
        <v>0.0</v>
      </c>
      <c r="J30" s="21">
        <v>153.0</v>
      </c>
      <c r="K30" s="21">
        <v>5621.0</v>
      </c>
      <c r="L30" s="21">
        <v>0.0</v>
      </c>
      <c r="M30" s="21">
        <v>0.0</v>
      </c>
      <c r="N30" s="21">
        <v>82.43390945</v>
      </c>
      <c r="O30" s="21">
        <v>450.77</v>
      </c>
      <c r="P30" s="21">
        <v>2157.76</v>
      </c>
      <c r="Q30" s="21">
        <v>6991.010947</v>
      </c>
      <c r="R30" s="21">
        <v>1506.67</v>
      </c>
      <c r="S30" s="21">
        <v>894.18</v>
      </c>
      <c r="T30" s="21">
        <v>0.0</v>
      </c>
      <c r="U30" s="21">
        <v>0.0</v>
      </c>
    </row>
    <row r="31" ht="15.75" customHeight="1">
      <c r="A31" s="16">
        <v>45494.0</v>
      </c>
      <c r="B31" s="20">
        <f t="shared" si="1"/>
        <v>707</v>
      </c>
      <c r="C31" s="20">
        <v>323.0</v>
      </c>
      <c r="D31" s="21">
        <v>168045.8</v>
      </c>
      <c r="E31" s="20">
        <v>384.0</v>
      </c>
      <c r="F31" s="21">
        <v>150978.46</v>
      </c>
      <c r="G31" s="21">
        <f t="shared" si="2"/>
        <v>319024.26</v>
      </c>
      <c r="H31" s="20">
        <v>1.0</v>
      </c>
      <c r="I31" s="20">
        <v>1.0</v>
      </c>
      <c r="J31" s="21">
        <v>153.0</v>
      </c>
      <c r="K31" s="21">
        <v>5621.0</v>
      </c>
      <c r="L31" s="21">
        <v>0.0</v>
      </c>
      <c r="M31" s="21">
        <v>0.0</v>
      </c>
      <c r="N31" s="21">
        <v>91.73072424</v>
      </c>
      <c r="O31" s="21">
        <v>210.22</v>
      </c>
      <c r="P31" s="21">
        <v>1773.861626</v>
      </c>
      <c r="Q31" s="21">
        <v>7189.510668</v>
      </c>
      <c r="R31" s="21">
        <v>1877.53</v>
      </c>
      <c r="S31" s="21">
        <v>1352.43</v>
      </c>
      <c r="T31" s="21">
        <v>0.0</v>
      </c>
      <c r="U31" s="21">
        <v>0.0</v>
      </c>
    </row>
    <row r="32" ht="15.75" customHeight="1">
      <c r="A32" s="16">
        <v>45501.0</v>
      </c>
      <c r="B32" s="20">
        <f t="shared" si="1"/>
        <v>622</v>
      </c>
      <c r="C32" s="20">
        <v>286.0</v>
      </c>
      <c r="D32" s="21">
        <v>177546.43</v>
      </c>
      <c r="E32" s="20">
        <v>336.0</v>
      </c>
      <c r="F32" s="21">
        <v>135065.46</v>
      </c>
      <c r="G32" s="21">
        <f t="shared" si="2"/>
        <v>312611.89</v>
      </c>
      <c r="H32" s="20">
        <v>0.0</v>
      </c>
      <c r="I32" s="20">
        <v>1.0</v>
      </c>
      <c r="J32" s="21">
        <v>153.0</v>
      </c>
      <c r="K32" s="21">
        <v>1666.0</v>
      </c>
      <c r="L32" s="21">
        <v>0.0</v>
      </c>
      <c r="M32" s="21">
        <v>0.0</v>
      </c>
      <c r="N32" s="21">
        <v>83.22702397</v>
      </c>
      <c r="O32" s="21">
        <v>0.0</v>
      </c>
      <c r="P32" s="21">
        <v>1506.64</v>
      </c>
      <c r="Q32" s="21">
        <v>4999.921754</v>
      </c>
      <c r="R32" s="21">
        <v>1008.37</v>
      </c>
      <c r="S32" s="21">
        <v>940.75</v>
      </c>
      <c r="T32" s="21">
        <v>0.0</v>
      </c>
      <c r="U32" s="21">
        <v>0.0</v>
      </c>
    </row>
    <row r="33" ht="15.75" customHeight="1">
      <c r="A33" s="16">
        <v>45508.0</v>
      </c>
      <c r="B33" s="20">
        <f t="shared" si="1"/>
        <v>549</v>
      </c>
      <c r="C33" s="20">
        <v>222.0</v>
      </c>
      <c r="D33" s="21">
        <v>116573.42</v>
      </c>
      <c r="E33" s="20">
        <v>327.0</v>
      </c>
      <c r="F33" s="21">
        <v>116184.44</v>
      </c>
      <c r="G33" s="21">
        <f t="shared" si="2"/>
        <v>232757.86</v>
      </c>
      <c r="H33" s="20">
        <v>0.0</v>
      </c>
      <c r="I33" s="20">
        <v>0.0</v>
      </c>
      <c r="J33" s="21">
        <v>153.0</v>
      </c>
      <c r="K33" s="21">
        <v>1666.0</v>
      </c>
      <c r="L33" s="21">
        <v>2143.0</v>
      </c>
      <c r="M33" s="21">
        <v>0.0</v>
      </c>
      <c r="N33" s="21">
        <v>84.21632346</v>
      </c>
      <c r="O33" s="21">
        <v>0.0</v>
      </c>
      <c r="P33" s="21">
        <v>1191.32</v>
      </c>
      <c r="Q33" s="21">
        <v>2802.656949</v>
      </c>
      <c r="R33" s="21">
        <v>1083.67</v>
      </c>
      <c r="S33" s="21">
        <v>626.66</v>
      </c>
      <c r="T33" s="21">
        <v>0.0</v>
      </c>
      <c r="U33" s="21">
        <v>0.0</v>
      </c>
    </row>
    <row r="34" ht="15.75" customHeight="1">
      <c r="A34" s="16">
        <v>45515.0</v>
      </c>
      <c r="B34" s="20">
        <f t="shared" si="1"/>
        <v>503</v>
      </c>
      <c r="C34" s="20">
        <v>217.0</v>
      </c>
      <c r="D34" s="21">
        <v>110789.29</v>
      </c>
      <c r="E34" s="20">
        <v>286.0</v>
      </c>
      <c r="F34" s="21">
        <v>116567.06</v>
      </c>
      <c r="G34" s="21">
        <f t="shared" si="2"/>
        <v>227356.35</v>
      </c>
      <c r="H34" s="20">
        <v>0.0</v>
      </c>
      <c r="I34" s="20">
        <v>0.0</v>
      </c>
      <c r="J34" s="21">
        <v>153.0</v>
      </c>
      <c r="K34" s="21">
        <v>1666.0</v>
      </c>
      <c r="L34" s="21">
        <v>0.0</v>
      </c>
      <c r="M34" s="21">
        <v>0.0</v>
      </c>
      <c r="N34" s="21">
        <v>118.5285328</v>
      </c>
      <c r="O34" s="21">
        <v>0.0</v>
      </c>
      <c r="P34" s="21">
        <v>1432.35</v>
      </c>
      <c r="Q34" s="21">
        <v>728.041316</v>
      </c>
      <c r="R34" s="21">
        <v>894.86</v>
      </c>
      <c r="S34" s="21">
        <v>546.69</v>
      </c>
      <c r="T34" s="21">
        <v>0.0</v>
      </c>
      <c r="U34" s="21">
        <v>0.0</v>
      </c>
    </row>
    <row r="35" ht="15.75" customHeight="1">
      <c r="A35" s="16">
        <v>45522.0</v>
      </c>
      <c r="B35" s="20">
        <f t="shared" si="1"/>
        <v>945</v>
      </c>
      <c r="C35" s="20">
        <v>649.0</v>
      </c>
      <c r="D35" s="21">
        <v>280124.32</v>
      </c>
      <c r="E35" s="20">
        <v>296.0</v>
      </c>
      <c r="F35" s="21">
        <v>110176.89</v>
      </c>
      <c r="G35" s="21">
        <f t="shared" si="2"/>
        <v>390301.21</v>
      </c>
      <c r="H35" s="20">
        <v>1.0</v>
      </c>
      <c r="I35" s="20">
        <v>0.0</v>
      </c>
      <c r="J35" s="21">
        <v>153.0</v>
      </c>
      <c r="K35" s="21">
        <v>1666.0</v>
      </c>
      <c r="L35" s="21">
        <v>0.0</v>
      </c>
      <c r="M35" s="21">
        <v>0.0</v>
      </c>
      <c r="N35" s="21">
        <v>183.5882461</v>
      </c>
      <c r="O35" s="21">
        <v>0.0</v>
      </c>
      <c r="P35" s="21">
        <v>1396.437659</v>
      </c>
      <c r="Q35" s="21">
        <v>1188.131362</v>
      </c>
      <c r="R35" s="21">
        <v>3245.32</v>
      </c>
      <c r="S35" s="21">
        <v>1536.42</v>
      </c>
      <c r="T35" s="21">
        <v>0.0</v>
      </c>
      <c r="U35" s="21">
        <v>0.0</v>
      </c>
    </row>
    <row r="36" ht="15.75" customHeight="1">
      <c r="A36" s="16">
        <v>45529.0</v>
      </c>
      <c r="B36" s="20">
        <f t="shared" si="1"/>
        <v>1102</v>
      </c>
      <c r="C36" s="20">
        <v>813.0</v>
      </c>
      <c r="D36" s="21">
        <v>317677.51</v>
      </c>
      <c r="E36" s="20">
        <v>289.0</v>
      </c>
      <c r="F36" s="21">
        <v>106322.22</v>
      </c>
      <c r="G36" s="21">
        <f t="shared" si="2"/>
        <v>423999.73</v>
      </c>
      <c r="H36" s="20">
        <v>1.0</v>
      </c>
      <c r="I36" s="20">
        <v>0.0</v>
      </c>
      <c r="J36" s="21">
        <v>153.0</v>
      </c>
      <c r="K36" s="21">
        <v>1365.0</v>
      </c>
      <c r="L36" s="21">
        <v>0.0</v>
      </c>
      <c r="M36" s="21">
        <v>0.0</v>
      </c>
      <c r="N36" s="21">
        <v>461.6789326</v>
      </c>
      <c r="O36" s="21">
        <v>0.0</v>
      </c>
      <c r="P36" s="21">
        <v>984.52</v>
      </c>
      <c r="Q36" s="21">
        <v>6189.409322</v>
      </c>
      <c r="R36" s="21">
        <v>2653.87</v>
      </c>
      <c r="S36" s="21">
        <v>1664.38</v>
      </c>
      <c r="T36" s="21">
        <v>0.0</v>
      </c>
      <c r="U36" s="21">
        <v>0.0</v>
      </c>
    </row>
    <row r="37" ht="15.75" customHeight="1">
      <c r="A37" s="16">
        <v>45536.0</v>
      </c>
      <c r="B37" s="20">
        <f t="shared" si="1"/>
        <v>892</v>
      </c>
      <c r="C37" s="20">
        <v>634.0</v>
      </c>
      <c r="D37" s="21">
        <v>241797.21</v>
      </c>
      <c r="E37" s="20">
        <v>258.0</v>
      </c>
      <c r="F37" s="21">
        <v>84514.29</v>
      </c>
      <c r="G37" s="21">
        <f t="shared" si="2"/>
        <v>326311.5</v>
      </c>
      <c r="H37" s="20">
        <v>0.0</v>
      </c>
      <c r="I37" s="20">
        <v>0.0</v>
      </c>
      <c r="J37" s="21">
        <v>153.0</v>
      </c>
      <c r="K37" s="21">
        <v>1365.0</v>
      </c>
      <c r="L37" s="21">
        <v>2143.0</v>
      </c>
      <c r="M37" s="21">
        <v>0.0</v>
      </c>
      <c r="N37" s="21">
        <v>520.0107984</v>
      </c>
      <c r="O37" s="21">
        <v>0.0</v>
      </c>
      <c r="P37" s="21">
        <v>887.28</v>
      </c>
      <c r="Q37" s="21">
        <v>9290.313779</v>
      </c>
      <c r="R37" s="21">
        <v>3170.81</v>
      </c>
      <c r="S37" s="21">
        <v>1969.37</v>
      </c>
      <c r="T37" s="21">
        <v>0.0</v>
      </c>
      <c r="U37" s="21">
        <v>0.0</v>
      </c>
    </row>
    <row r="38" ht="15.75" customHeight="1">
      <c r="A38" s="16">
        <v>45543.0</v>
      </c>
      <c r="B38" s="20">
        <f t="shared" si="1"/>
        <v>861</v>
      </c>
      <c r="C38" s="20">
        <v>632.0</v>
      </c>
      <c r="D38" s="21">
        <v>224091.27</v>
      </c>
      <c r="E38" s="20">
        <v>229.0</v>
      </c>
      <c r="F38" s="21">
        <v>85977.04</v>
      </c>
      <c r="G38" s="21">
        <f t="shared" si="2"/>
        <v>310068.31</v>
      </c>
      <c r="H38" s="20">
        <v>1.0</v>
      </c>
      <c r="I38" s="20">
        <v>0.0</v>
      </c>
      <c r="J38" s="21">
        <v>153.0</v>
      </c>
      <c r="K38" s="21">
        <v>564.0</v>
      </c>
      <c r="L38" s="21">
        <v>0.0</v>
      </c>
      <c r="M38" s="21">
        <v>0.0</v>
      </c>
      <c r="N38" s="21">
        <v>523.0208243</v>
      </c>
      <c r="O38" s="21">
        <v>0.0</v>
      </c>
      <c r="P38" s="21">
        <v>862.94</v>
      </c>
      <c r="Q38" s="21">
        <v>3124.66194</v>
      </c>
      <c r="R38" s="21">
        <v>3492.27</v>
      </c>
      <c r="S38" s="21">
        <v>2115.11</v>
      </c>
      <c r="T38" s="21">
        <v>0.0</v>
      </c>
      <c r="U38" s="21">
        <v>0.0</v>
      </c>
    </row>
    <row r="39" ht="15.75" customHeight="1">
      <c r="A39" s="16">
        <v>45550.0</v>
      </c>
      <c r="B39" s="20">
        <f t="shared" si="1"/>
        <v>772</v>
      </c>
      <c r="C39" s="20">
        <v>609.0</v>
      </c>
      <c r="D39" s="21">
        <v>211650.68</v>
      </c>
      <c r="E39" s="20">
        <v>163.0</v>
      </c>
      <c r="F39" s="21">
        <v>57185.02</v>
      </c>
      <c r="G39" s="21">
        <f t="shared" si="2"/>
        <v>268835.7</v>
      </c>
      <c r="H39" s="20">
        <v>1.0</v>
      </c>
      <c r="I39" s="20">
        <v>0.0</v>
      </c>
      <c r="J39" s="21">
        <v>153.0</v>
      </c>
      <c r="K39" s="21">
        <v>1755.0</v>
      </c>
      <c r="L39" s="21">
        <v>0.0</v>
      </c>
      <c r="M39" s="21">
        <v>0.0</v>
      </c>
      <c r="N39" s="21">
        <v>543.2556108</v>
      </c>
      <c r="O39" s="21">
        <v>0.0</v>
      </c>
      <c r="P39" s="21">
        <v>1662.6</v>
      </c>
      <c r="Q39" s="21">
        <v>2669.763864</v>
      </c>
      <c r="R39" s="21">
        <v>3670.24</v>
      </c>
      <c r="S39" s="21">
        <v>2254.08</v>
      </c>
      <c r="T39" s="21">
        <v>0.0</v>
      </c>
      <c r="U39" s="21">
        <v>0.0</v>
      </c>
    </row>
    <row r="40" ht="15.75" customHeight="1">
      <c r="A40" s="16">
        <v>45557.0</v>
      </c>
      <c r="B40" s="20">
        <f t="shared" si="1"/>
        <v>538</v>
      </c>
      <c r="C40" s="20">
        <v>401.0</v>
      </c>
      <c r="D40" s="21">
        <v>160247.7</v>
      </c>
      <c r="E40" s="20">
        <v>137.0</v>
      </c>
      <c r="F40" s="21">
        <v>51898.77</v>
      </c>
      <c r="G40" s="21">
        <f t="shared" si="2"/>
        <v>212146.47</v>
      </c>
      <c r="H40" s="20">
        <v>1.0</v>
      </c>
      <c r="I40" s="20">
        <v>1.0</v>
      </c>
      <c r="J40" s="21">
        <v>153.0</v>
      </c>
      <c r="K40" s="21">
        <v>1755.0</v>
      </c>
      <c r="L40" s="21">
        <v>0.0</v>
      </c>
      <c r="M40" s="21">
        <v>0.0</v>
      </c>
      <c r="N40" s="21">
        <v>805.5170727</v>
      </c>
      <c r="O40" s="21">
        <v>0.0</v>
      </c>
      <c r="P40" s="21">
        <v>1134.61</v>
      </c>
      <c r="Q40" s="21">
        <v>542.233296</v>
      </c>
      <c r="R40" s="21">
        <v>559.89</v>
      </c>
      <c r="S40" s="21">
        <v>397.94</v>
      </c>
      <c r="T40" s="21">
        <v>0.0</v>
      </c>
      <c r="U40" s="21">
        <v>0.0</v>
      </c>
    </row>
    <row r="41" ht="15.75" customHeight="1">
      <c r="A41" s="16">
        <v>45564.0</v>
      </c>
      <c r="B41" s="20">
        <f t="shared" si="1"/>
        <v>317</v>
      </c>
      <c r="C41" s="20">
        <v>164.0</v>
      </c>
      <c r="D41" s="21">
        <v>68765.34</v>
      </c>
      <c r="E41" s="20">
        <v>153.0</v>
      </c>
      <c r="F41" s="21">
        <v>54404.61</v>
      </c>
      <c r="G41" s="21">
        <f t="shared" si="2"/>
        <v>123169.95</v>
      </c>
      <c r="H41" s="20">
        <v>0.0</v>
      </c>
      <c r="I41" s="20">
        <v>0.0</v>
      </c>
      <c r="J41" s="21">
        <v>153.0</v>
      </c>
      <c r="K41" s="21">
        <v>1390.0</v>
      </c>
      <c r="L41" s="21">
        <v>0.0</v>
      </c>
      <c r="M41" s="21">
        <v>0.0</v>
      </c>
      <c r="N41" s="21">
        <v>797.2189819</v>
      </c>
      <c r="O41" s="21">
        <v>0.0</v>
      </c>
      <c r="P41" s="21">
        <v>1222.23</v>
      </c>
      <c r="Q41" s="21">
        <v>265.932174</v>
      </c>
      <c r="R41" s="21">
        <v>203.16</v>
      </c>
      <c r="S41" s="21">
        <v>107.84</v>
      </c>
      <c r="T41" s="21">
        <v>0.0</v>
      </c>
      <c r="U41" s="21">
        <v>0.0</v>
      </c>
    </row>
    <row r="42" ht="15.75" customHeight="1">
      <c r="A42" s="16">
        <v>45571.0</v>
      </c>
      <c r="B42" s="20">
        <f t="shared" si="1"/>
        <v>282</v>
      </c>
      <c r="C42" s="20">
        <v>139.0</v>
      </c>
      <c r="D42" s="21">
        <v>54510.32</v>
      </c>
      <c r="E42" s="20">
        <v>143.0</v>
      </c>
      <c r="F42" s="21">
        <v>70822.23</v>
      </c>
      <c r="G42" s="21">
        <f t="shared" si="2"/>
        <v>125332.55</v>
      </c>
      <c r="H42" s="20">
        <v>0.0</v>
      </c>
      <c r="I42" s="20">
        <v>0.0</v>
      </c>
      <c r="J42" s="21">
        <v>153.0</v>
      </c>
      <c r="K42" s="21">
        <v>1390.0</v>
      </c>
      <c r="L42" s="21">
        <v>2143.0</v>
      </c>
      <c r="M42" s="21">
        <v>0.0</v>
      </c>
      <c r="N42" s="21">
        <v>430.8584931</v>
      </c>
      <c r="O42" s="21">
        <v>0.0</v>
      </c>
      <c r="P42" s="21">
        <v>955.8</v>
      </c>
      <c r="Q42" s="21">
        <v>680.28565</v>
      </c>
      <c r="R42" s="21">
        <v>158.76</v>
      </c>
      <c r="S42" s="21">
        <v>222.66</v>
      </c>
      <c r="T42" s="21">
        <v>0.0</v>
      </c>
      <c r="U42" s="21">
        <v>0.0</v>
      </c>
    </row>
    <row r="43" ht="15.75" customHeight="1">
      <c r="A43" s="16">
        <v>45578.0</v>
      </c>
      <c r="B43" s="20">
        <f t="shared" si="1"/>
        <v>263</v>
      </c>
      <c r="C43" s="20">
        <v>101.0</v>
      </c>
      <c r="D43" s="21">
        <v>42336.29</v>
      </c>
      <c r="E43" s="20">
        <v>162.0</v>
      </c>
      <c r="F43" s="21">
        <v>68747.09</v>
      </c>
      <c r="G43" s="21">
        <f t="shared" si="2"/>
        <v>111083.38</v>
      </c>
      <c r="H43" s="20">
        <v>0.0</v>
      </c>
      <c r="I43" s="20">
        <v>1.0</v>
      </c>
      <c r="J43" s="21">
        <v>153.0</v>
      </c>
      <c r="K43" s="21">
        <v>1390.0</v>
      </c>
      <c r="L43" s="21">
        <v>0.0</v>
      </c>
      <c r="M43" s="21">
        <v>0.0</v>
      </c>
      <c r="N43" s="21">
        <v>177.5627843</v>
      </c>
      <c r="O43" s="21">
        <v>0.0</v>
      </c>
      <c r="P43" s="21">
        <v>672.59</v>
      </c>
      <c r="Q43" s="21">
        <v>387.767048</v>
      </c>
      <c r="R43" s="21">
        <v>199.24</v>
      </c>
      <c r="S43" s="21">
        <v>190.41</v>
      </c>
      <c r="T43" s="21">
        <v>0.0</v>
      </c>
      <c r="U43" s="21">
        <v>0.0</v>
      </c>
    </row>
    <row r="44" ht="15.75" customHeight="1">
      <c r="A44" s="16">
        <v>45585.0</v>
      </c>
      <c r="B44" s="20">
        <f t="shared" si="1"/>
        <v>262</v>
      </c>
      <c r="C44" s="20">
        <v>101.0</v>
      </c>
      <c r="D44" s="21">
        <v>71501.49</v>
      </c>
      <c r="E44" s="20">
        <v>161.0</v>
      </c>
      <c r="F44" s="21">
        <v>81272.76</v>
      </c>
      <c r="G44" s="21">
        <f t="shared" si="2"/>
        <v>152774.25</v>
      </c>
      <c r="H44" s="20">
        <v>0.0</v>
      </c>
      <c r="I44" s="20">
        <v>1.0</v>
      </c>
      <c r="J44" s="21">
        <v>153.0</v>
      </c>
      <c r="K44" s="21">
        <v>1390.0</v>
      </c>
      <c r="L44" s="21">
        <v>0.0</v>
      </c>
      <c r="M44" s="21">
        <v>0.0</v>
      </c>
      <c r="N44" s="21">
        <v>116.7437098</v>
      </c>
      <c r="O44" s="21">
        <v>0.0</v>
      </c>
      <c r="P44" s="21">
        <v>641.24</v>
      </c>
      <c r="Q44" s="21">
        <v>183.362952</v>
      </c>
      <c r="R44" s="21">
        <v>289.38</v>
      </c>
      <c r="S44" s="21">
        <v>128.44</v>
      </c>
      <c r="T44" s="21">
        <v>0.0</v>
      </c>
      <c r="U44" s="21">
        <v>0.0</v>
      </c>
    </row>
    <row r="45" ht="15.75" customHeight="1">
      <c r="A45" s="16">
        <v>45592.0</v>
      </c>
      <c r="B45" s="20">
        <f t="shared" si="1"/>
        <v>227</v>
      </c>
      <c r="C45" s="20">
        <v>90.0</v>
      </c>
      <c r="D45" s="21">
        <v>65188.9</v>
      </c>
      <c r="E45" s="20">
        <v>137.0</v>
      </c>
      <c r="F45" s="21">
        <v>75168.35</v>
      </c>
      <c r="G45" s="21">
        <f t="shared" si="2"/>
        <v>140357.25</v>
      </c>
      <c r="H45" s="20">
        <v>0.0</v>
      </c>
      <c r="I45" s="20">
        <v>1.0</v>
      </c>
      <c r="J45" s="21">
        <v>153.0</v>
      </c>
      <c r="K45" s="21">
        <v>2393.0</v>
      </c>
      <c r="L45" s="21">
        <v>0.0</v>
      </c>
      <c r="M45" s="21">
        <v>0.0</v>
      </c>
      <c r="N45" s="21">
        <v>96.39254724</v>
      </c>
      <c r="O45" s="21">
        <v>0.0</v>
      </c>
      <c r="P45" s="21">
        <v>462.62</v>
      </c>
      <c r="Q45" s="21">
        <v>200.105401</v>
      </c>
      <c r="R45" s="21">
        <v>357.16</v>
      </c>
      <c r="S45" s="21">
        <v>131.55</v>
      </c>
      <c r="T45" s="21">
        <v>0.0</v>
      </c>
      <c r="U45" s="21">
        <v>0.0</v>
      </c>
    </row>
    <row r="46" ht="15.75" customHeight="1">
      <c r="A46" s="16">
        <v>45599.0</v>
      </c>
      <c r="B46" s="20">
        <f t="shared" si="1"/>
        <v>281</v>
      </c>
      <c r="C46" s="20">
        <v>114.0</v>
      </c>
      <c r="D46" s="21">
        <v>56634.44</v>
      </c>
      <c r="E46" s="20">
        <v>167.0</v>
      </c>
      <c r="F46" s="21">
        <v>99147.16</v>
      </c>
      <c r="G46" s="21">
        <f t="shared" si="2"/>
        <v>155781.6</v>
      </c>
      <c r="H46" s="20">
        <v>1.0</v>
      </c>
      <c r="I46" s="20">
        <v>1.0</v>
      </c>
      <c r="J46" s="21">
        <v>153.0</v>
      </c>
      <c r="K46" s="21">
        <v>2393.0</v>
      </c>
      <c r="L46" s="21">
        <v>2143.0</v>
      </c>
      <c r="M46" s="21">
        <v>0.0</v>
      </c>
      <c r="N46" s="21">
        <v>23.81075661</v>
      </c>
      <c r="O46" s="21">
        <v>0.0</v>
      </c>
      <c r="P46" s="21">
        <v>642.34</v>
      </c>
      <c r="Q46" s="21">
        <v>424.446964</v>
      </c>
      <c r="R46" s="21">
        <v>184.11</v>
      </c>
      <c r="S46" s="21">
        <v>36.79</v>
      </c>
      <c r="T46" s="21">
        <v>0.0</v>
      </c>
      <c r="U46" s="21">
        <v>0.0</v>
      </c>
    </row>
    <row r="47" ht="15.75" customHeight="1">
      <c r="A47" s="16">
        <v>45606.0</v>
      </c>
      <c r="B47" s="20">
        <f t="shared" si="1"/>
        <v>262</v>
      </c>
      <c r="C47" s="20">
        <v>109.0</v>
      </c>
      <c r="D47" s="21">
        <v>63511.68</v>
      </c>
      <c r="E47" s="20">
        <v>153.0</v>
      </c>
      <c r="F47" s="21">
        <v>81256.11</v>
      </c>
      <c r="G47" s="21">
        <f t="shared" si="2"/>
        <v>144767.79</v>
      </c>
      <c r="H47" s="20">
        <v>0.0</v>
      </c>
      <c r="I47" s="20">
        <v>0.0</v>
      </c>
      <c r="J47" s="21">
        <v>153.0</v>
      </c>
      <c r="K47" s="21">
        <v>4268.0</v>
      </c>
      <c r="L47" s="21">
        <v>0.0</v>
      </c>
      <c r="M47" s="21">
        <v>6926.0</v>
      </c>
      <c r="N47" s="21">
        <v>17.13001412</v>
      </c>
      <c r="O47" s="21">
        <v>22.12</v>
      </c>
      <c r="P47" s="21">
        <v>667.266728</v>
      </c>
      <c r="Q47" s="21">
        <v>406.984396</v>
      </c>
      <c r="R47" s="21">
        <v>100.52</v>
      </c>
      <c r="S47" s="21">
        <v>101.62</v>
      </c>
      <c r="T47" s="21">
        <v>0.0</v>
      </c>
      <c r="U47" s="21">
        <v>0.0</v>
      </c>
    </row>
    <row r="48" ht="15.75" customHeight="1">
      <c r="A48" s="16">
        <v>45613.0</v>
      </c>
      <c r="B48" s="20">
        <f t="shared" si="1"/>
        <v>293</v>
      </c>
      <c r="C48" s="20">
        <v>160.0</v>
      </c>
      <c r="D48" s="21">
        <v>104538.54</v>
      </c>
      <c r="E48" s="20">
        <v>133.0</v>
      </c>
      <c r="F48" s="21">
        <v>68058.88</v>
      </c>
      <c r="G48" s="21">
        <f t="shared" si="2"/>
        <v>172597.42</v>
      </c>
      <c r="H48" s="20">
        <v>1.0</v>
      </c>
      <c r="I48" s="20">
        <v>1.0</v>
      </c>
      <c r="J48" s="21">
        <v>153.0</v>
      </c>
      <c r="K48" s="21">
        <v>4268.0</v>
      </c>
      <c r="L48" s="21">
        <v>0.0</v>
      </c>
      <c r="M48" s="21">
        <v>0.0</v>
      </c>
      <c r="N48" s="21">
        <v>274.2967286</v>
      </c>
      <c r="O48" s="21">
        <v>50.39</v>
      </c>
      <c r="P48" s="21">
        <v>772.140646</v>
      </c>
      <c r="Q48" s="21">
        <v>449.357759</v>
      </c>
      <c r="R48" s="21">
        <v>67.08</v>
      </c>
      <c r="S48" s="21">
        <v>144.35</v>
      </c>
      <c r="T48" s="21">
        <v>0.0</v>
      </c>
      <c r="U48" s="21">
        <v>0.0</v>
      </c>
    </row>
    <row r="49" ht="15.75" customHeight="1">
      <c r="A49" s="16">
        <v>45620.0</v>
      </c>
      <c r="B49" s="20">
        <f t="shared" si="1"/>
        <v>416</v>
      </c>
      <c r="C49" s="20">
        <v>186.0</v>
      </c>
      <c r="D49" s="21">
        <v>102019.25</v>
      </c>
      <c r="E49" s="20">
        <v>230.0</v>
      </c>
      <c r="F49" s="21">
        <v>103503.9</v>
      </c>
      <c r="G49" s="21">
        <f t="shared" si="2"/>
        <v>205523.15</v>
      </c>
      <c r="H49" s="20">
        <v>0.0</v>
      </c>
      <c r="I49" s="20">
        <v>1.0</v>
      </c>
      <c r="J49" s="21">
        <v>153.0</v>
      </c>
      <c r="K49" s="21">
        <v>2753.0</v>
      </c>
      <c r="L49" s="21">
        <v>0.0</v>
      </c>
      <c r="M49" s="21">
        <v>0.0</v>
      </c>
      <c r="N49" s="21">
        <v>456.7047063</v>
      </c>
      <c r="O49" s="21">
        <v>100.73</v>
      </c>
      <c r="P49" s="21">
        <v>1341.24283</v>
      </c>
      <c r="Q49" s="21">
        <v>578.478208</v>
      </c>
      <c r="R49" s="21">
        <v>221.7</v>
      </c>
      <c r="S49" s="21">
        <v>162.07</v>
      </c>
      <c r="T49" s="21">
        <v>0.0</v>
      </c>
      <c r="U49" s="21">
        <v>0.0</v>
      </c>
    </row>
    <row r="50" ht="15.75" customHeight="1">
      <c r="A50" s="16">
        <v>45627.0</v>
      </c>
      <c r="B50" s="20">
        <f t="shared" si="1"/>
        <v>451</v>
      </c>
      <c r="C50" s="20">
        <v>227.0</v>
      </c>
      <c r="D50" s="21">
        <v>122405.94</v>
      </c>
      <c r="E50" s="20">
        <v>224.0</v>
      </c>
      <c r="F50" s="21">
        <v>133722.58</v>
      </c>
      <c r="G50" s="21">
        <f t="shared" si="2"/>
        <v>256128.52</v>
      </c>
      <c r="H50" s="20">
        <v>0.0</v>
      </c>
      <c r="I50" s="20">
        <v>1.0</v>
      </c>
      <c r="J50" s="21">
        <v>153.0</v>
      </c>
      <c r="K50" s="21">
        <v>2753.0</v>
      </c>
      <c r="L50" s="21">
        <v>2143.0</v>
      </c>
      <c r="M50" s="21">
        <v>0.0</v>
      </c>
      <c r="N50" s="21">
        <v>423.2043802</v>
      </c>
      <c r="O50" s="21">
        <v>141.457474</v>
      </c>
      <c r="P50" s="21">
        <v>1326.257581</v>
      </c>
      <c r="Q50" s="21">
        <v>534.86133</v>
      </c>
      <c r="R50" s="21">
        <v>406.36</v>
      </c>
      <c r="S50" s="21">
        <v>167.96</v>
      </c>
      <c r="T50" s="21">
        <v>0.0</v>
      </c>
      <c r="U50" s="21">
        <v>0.0</v>
      </c>
    </row>
    <row r="51" ht="15.75" customHeight="1">
      <c r="A51" s="16">
        <v>45634.0</v>
      </c>
      <c r="B51" s="20">
        <f t="shared" si="1"/>
        <v>448</v>
      </c>
      <c r="C51" s="20">
        <v>225.0</v>
      </c>
      <c r="D51" s="21">
        <v>132625.51</v>
      </c>
      <c r="E51" s="20">
        <v>223.0</v>
      </c>
      <c r="F51" s="21">
        <v>120673.51</v>
      </c>
      <c r="G51" s="21">
        <f t="shared" si="2"/>
        <v>253299.02</v>
      </c>
      <c r="H51" s="20">
        <v>0.0</v>
      </c>
      <c r="I51" s="20">
        <v>0.0</v>
      </c>
      <c r="J51" s="21">
        <v>153.0</v>
      </c>
      <c r="K51" s="21">
        <v>2753.0</v>
      </c>
      <c r="L51" s="21">
        <v>0.0</v>
      </c>
      <c r="M51" s="21">
        <v>0.0</v>
      </c>
      <c r="N51" s="21">
        <v>291.7134369</v>
      </c>
      <c r="O51" s="21">
        <v>475.949698</v>
      </c>
      <c r="P51" s="21">
        <v>1185.991584</v>
      </c>
      <c r="Q51" s="21">
        <v>342.551887</v>
      </c>
      <c r="R51" s="21">
        <v>563.88</v>
      </c>
      <c r="S51" s="21">
        <v>162.92</v>
      </c>
      <c r="T51" s="21">
        <v>0.0</v>
      </c>
      <c r="U51" s="21">
        <v>992.82</v>
      </c>
    </row>
    <row r="52" ht="15.75" customHeight="1">
      <c r="A52" s="16">
        <v>45641.0</v>
      </c>
      <c r="B52" s="20">
        <f t="shared" si="1"/>
        <v>834</v>
      </c>
      <c r="C52" s="20">
        <v>444.0</v>
      </c>
      <c r="D52" s="21">
        <v>231853.53</v>
      </c>
      <c r="E52" s="20">
        <v>390.0</v>
      </c>
      <c r="F52" s="21">
        <v>192745.16</v>
      </c>
      <c r="G52" s="21">
        <f t="shared" si="2"/>
        <v>424598.69</v>
      </c>
      <c r="H52" s="20">
        <v>1.0</v>
      </c>
      <c r="I52" s="20">
        <v>0.0</v>
      </c>
      <c r="J52" s="21">
        <v>153.0</v>
      </c>
      <c r="K52" s="21">
        <v>2753.0</v>
      </c>
      <c r="L52" s="21">
        <v>0.0</v>
      </c>
      <c r="M52" s="21">
        <v>0.0</v>
      </c>
      <c r="N52" s="21">
        <v>469.2142507</v>
      </c>
      <c r="O52" s="21">
        <v>139.84</v>
      </c>
      <c r="P52" s="21">
        <v>1024.538502</v>
      </c>
      <c r="Q52" s="21">
        <v>1730.29967</v>
      </c>
      <c r="R52" s="21">
        <v>1003.53</v>
      </c>
      <c r="S52" s="21">
        <v>1148.7</v>
      </c>
      <c r="T52" s="21">
        <v>255.22</v>
      </c>
      <c r="U52" s="21">
        <v>422.4</v>
      </c>
    </row>
    <row r="53" ht="15.75" customHeight="1">
      <c r="A53" s="16">
        <v>45648.0</v>
      </c>
      <c r="B53" s="20">
        <f t="shared" si="1"/>
        <v>868</v>
      </c>
      <c r="C53" s="20">
        <v>393.0</v>
      </c>
      <c r="D53" s="21">
        <v>189897.03</v>
      </c>
      <c r="E53" s="20">
        <v>475.0</v>
      </c>
      <c r="F53" s="21">
        <v>198301.53</v>
      </c>
      <c r="G53" s="21">
        <f t="shared" si="2"/>
        <v>388198.56</v>
      </c>
      <c r="H53" s="20">
        <v>1.0</v>
      </c>
      <c r="I53" s="20">
        <v>0.0</v>
      </c>
      <c r="J53" s="21">
        <v>153.0</v>
      </c>
      <c r="K53" s="21">
        <v>878.0</v>
      </c>
      <c r="L53" s="21">
        <v>0.0</v>
      </c>
      <c r="M53" s="21">
        <v>0.0</v>
      </c>
      <c r="N53" s="21">
        <v>441.1507419</v>
      </c>
      <c r="O53" s="21">
        <v>293.54</v>
      </c>
      <c r="P53" s="21">
        <v>435.770787</v>
      </c>
      <c r="Q53" s="21">
        <v>3144.675655</v>
      </c>
      <c r="R53" s="21">
        <v>2119.06</v>
      </c>
      <c r="S53" s="21">
        <v>1602.27</v>
      </c>
      <c r="T53" s="21">
        <v>371.04</v>
      </c>
      <c r="U53" s="21">
        <v>130.13</v>
      </c>
    </row>
    <row r="54" ht="15.75" customHeight="1">
      <c r="A54" s="16">
        <v>45655.0</v>
      </c>
      <c r="B54" s="20">
        <f t="shared" si="1"/>
        <v>1175</v>
      </c>
      <c r="C54" s="20">
        <v>519.0</v>
      </c>
      <c r="D54" s="21">
        <v>204726.24</v>
      </c>
      <c r="E54" s="20">
        <v>656.0</v>
      </c>
      <c r="F54" s="21">
        <v>119326.42</v>
      </c>
      <c r="G54" s="21">
        <f t="shared" si="2"/>
        <v>324052.66</v>
      </c>
      <c r="H54" s="20">
        <v>0.0</v>
      </c>
      <c r="I54" s="20">
        <v>0.0</v>
      </c>
      <c r="J54" s="21">
        <v>157.0</v>
      </c>
      <c r="K54" s="21">
        <v>607.0</v>
      </c>
      <c r="L54" s="21">
        <v>0.0</v>
      </c>
      <c r="M54" s="21">
        <v>0.0</v>
      </c>
      <c r="N54" s="21">
        <v>219.7817969</v>
      </c>
      <c r="O54" s="21">
        <v>246.99</v>
      </c>
      <c r="P54" s="21">
        <v>331.826355</v>
      </c>
      <c r="Q54" s="21">
        <v>7528.183139</v>
      </c>
      <c r="R54" s="21">
        <v>2987.25</v>
      </c>
      <c r="S54" s="21">
        <v>1891.31</v>
      </c>
      <c r="T54" s="21">
        <v>370.18</v>
      </c>
      <c r="U54" s="21">
        <v>124.54</v>
      </c>
    </row>
    <row r="55" ht="15.75" customHeight="1">
      <c r="A55" s="16">
        <v>45662.0</v>
      </c>
      <c r="B55" s="20">
        <f t="shared" si="1"/>
        <v>920</v>
      </c>
      <c r="C55" s="20">
        <v>621.0</v>
      </c>
      <c r="D55" s="21">
        <v>263307.89</v>
      </c>
      <c r="E55" s="20">
        <v>299.0</v>
      </c>
      <c r="F55" s="21">
        <v>91740.09</v>
      </c>
      <c r="G55" s="21">
        <f t="shared" si="2"/>
        <v>355047.98</v>
      </c>
      <c r="H55" s="20">
        <v>0.0</v>
      </c>
      <c r="I55" s="20">
        <v>0.0</v>
      </c>
      <c r="J55" s="21">
        <v>157.0</v>
      </c>
      <c r="K55" s="21">
        <v>607.0</v>
      </c>
      <c r="L55" s="21">
        <v>0.0</v>
      </c>
      <c r="M55" s="21">
        <v>0.0</v>
      </c>
      <c r="N55" s="21">
        <v>400.095356</v>
      </c>
      <c r="O55" s="21">
        <v>135.24</v>
      </c>
      <c r="P55" s="21">
        <v>385.672413</v>
      </c>
      <c r="Q55" s="21">
        <v>7115.15542</v>
      </c>
      <c r="R55" s="21">
        <v>3298.12</v>
      </c>
      <c r="S55" s="21">
        <v>1900.1</v>
      </c>
      <c r="T55" s="21">
        <v>200.82</v>
      </c>
      <c r="U55" s="21">
        <v>142.9</v>
      </c>
    </row>
    <row r="56" ht="15.75" customHeight="1">
      <c r="A56" s="16">
        <v>45669.0</v>
      </c>
      <c r="B56" s="20">
        <f t="shared" si="1"/>
        <v>821</v>
      </c>
      <c r="C56" s="20">
        <v>565.0</v>
      </c>
      <c r="D56" s="21">
        <v>219512.24</v>
      </c>
      <c r="E56" s="20">
        <v>256.0</v>
      </c>
      <c r="F56" s="21">
        <v>77073.49</v>
      </c>
      <c r="G56" s="21">
        <f t="shared" si="2"/>
        <v>296585.73</v>
      </c>
      <c r="H56" s="20">
        <v>1.0</v>
      </c>
      <c r="I56" s="20">
        <v>0.0</v>
      </c>
      <c r="J56" s="21">
        <v>157.0</v>
      </c>
      <c r="K56" s="21">
        <v>607.0</v>
      </c>
      <c r="L56" s="21">
        <v>0.0</v>
      </c>
      <c r="M56" s="21">
        <v>0.0</v>
      </c>
      <c r="N56" s="21">
        <v>555.4393249</v>
      </c>
      <c r="O56" s="21">
        <v>110.04</v>
      </c>
      <c r="P56" s="21">
        <v>405.831705</v>
      </c>
      <c r="Q56" s="21">
        <v>2547.124447</v>
      </c>
      <c r="R56" s="21">
        <v>1528.44</v>
      </c>
      <c r="S56" s="21">
        <v>1625.06</v>
      </c>
      <c r="T56" s="21">
        <v>0.0</v>
      </c>
      <c r="U56" s="21">
        <v>264.85</v>
      </c>
    </row>
    <row r="57" ht="15.75" customHeight="1">
      <c r="A57" s="16">
        <v>45676.0</v>
      </c>
      <c r="B57" s="20">
        <f t="shared" si="1"/>
        <v>484</v>
      </c>
      <c r="C57" s="20">
        <v>302.0</v>
      </c>
      <c r="D57" s="21">
        <v>162194.48</v>
      </c>
      <c r="E57" s="20">
        <v>182.0</v>
      </c>
      <c r="F57" s="21">
        <v>73168.81</v>
      </c>
      <c r="G57" s="21">
        <f t="shared" si="2"/>
        <v>235363.29</v>
      </c>
      <c r="H57" s="20">
        <v>1.0</v>
      </c>
      <c r="I57" s="20">
        <v>1.0</v>
      </c>
      <c r="J57" s="21">
        <v>157.0</v>
      </c>
      <c r="K57" s="21">
        <v>607.0</v>
      </c>
      <c r="L57" s="21">
        <v>0.0</v>
      </c>
      <c r="M57" s="21">
        <v>0.0</v>
      </c>
      <c r="N57" s="21">
        <v>634.5502582</v>
      </c>
      <c r="O57" s="21">
        <v>227.92</v>
      </c>
      <c r="P57" s="21">
        <v>496.834152</v>
      </c>
      <c r="Q57" s="21">
        <v>721.092931</v>
      </c>
      <c r="R57" s="21">
        <v>547.1</v>
      </c>
      <c r="S57" s="21">
        <v>270.46</v>
      </c>
      <c r="T57" s="21">
        <v>0.0</v>
      </c>
      <c r="U57" s="21">
        <v>213.12</v>
      </c>
    </row>
    <row r="58" ht="15.75" customHeight="1">
      <c r="A58" s="16">
        <v>45683.0</v>
      </c>
      <c r="B58" s="20">
        <f t="shared" si="1"/>
        <v>340</v>
      </c>
      <c r="C58" s="20">
        <v>136.0</v>
      </c>
      <c r="D58" s="21">
        <v>81099.42</v>
      </c>
      <c r="E58" s="20">
        <v>204.0</v>
      </c>
      <c r="F58" s="21">
        <v>94072.23</v>
      </c>
      <c r="G58" s="21">
        <f t="shared" si="2"/>
        <v>175171.65</v>
      </c>
      <c r="H58" s="20">
        <v>0.0</v>
      </c>
      <c r="I58" s="20">
        <v>1.0</v>
      </c>
      <c r="J58" s="21">
        <v>157.0</v>
      </c>
      <c r="K58" s="21">
        <v>439.0</v>
      </c>
      <c r="L58" s="21">
        <v>0.0</v>
      </c>
      <c r="M58" s="21">
        <v>0.0</v>
      </c>
      <c r="N58" s="21">
        <v>647.6124862</v>
      </c>
      <c r="O58" s="21">
        <v>242.851851</v>
      </c>
      <c r="P58" s="21">
        <v>524.587244</v>
      </c>
      <c r="Q58" s="21">
        <v>860.628555</v>
      </c>
      <c r="R58" s="21">
        <v>767.77</v>
      </c>
      <c r="S58" s="21">
        <v>202.52</v>
      </c>
      <c r="T58" s="21">
        <v>0.0</v>
      </c>
      <c r="U58" s="21">
        <v>180.27</v>
      </c>
    </row>
    <row r="59" ht="15.75" customHeight="1">
      <c r="A59" s="16">
        <v>45690.0</v>
      </c>
      <c r="B59" s="20">
        <f t="shared" si="1"/>
        <v>385</v>
      </c>
      <c r="C59" s="20">
        <v>153.0</v>
      </c>
      <c r="D59" s="21">
        <v>87754.01</v>
      </c>
      <c r="E59" s="20">
        <v>232.0</v>
      </c>
      <c r="F59" s="21">
        <v>92838.71</v>
      </c>
      <c r="G59" s="21">
        <f t="shared" si="2"/>
        <v>180592.72</v>
      </c>
      <c r="H59" s="20">
        <v>0.0</v>
      </c>
      <c r="I59" s="20">
        <v>0.0</v>
      </c>
      <c r="J59" s="21">
        <v>157.0</v>
      </c>
      <c r="K59" s="21">
        <v>839.0</v>
      </c>
      <c r="L59" s="21">
        <v>0.0</v>
      </c>
      <c r="M59" s="21">
        <v>0.0</v>
      </c>
      <c r="N59" s="21">
        <v>601.0392901</v>
      </c>
      <c r="O59" s="21">
        <v>449.515647</v>
      </c>
      <c r="P59" s="21">
        <v>780.780983</v>
      </c>
      <c r="Q59" s="21">
        <v>775.073323</v>
      </c>
      <c r="R59" s="21">
        <v>571.88</v>
      </c>
      <c r="S59" s="21">
        <v>198.67</v>
      </c>
      <c r="T59" s="21">
        <v>132.72</v>
      </c>
      <c r="U59" s="21">
        <v>122.45</v>
      </c>
    </row>
    <row r="60" ht="15.75" customHeight="1">
      <c r="A60" s="16">
        <v>45697.0</v>
      </c>
      <c r="B60" s="20">
        <f t="shared" si="1"/>
        <v>419</v>
      </c>
      <c r="C60" s="20">
        <v>143.0</v>
      </c>
      <c r="D60" s="21">
        <v>79220.87</v>
      </c>
      <c r="E60" s="20">
        <v>276.0</v>
      </c>
      <c r="F60" s="21">
        <v>108003.93</v>
      </c>
      <c r="G60" s="21">
        <f t="shared" si="2"/>
        <v>187224.8</v>
      </c>
      <c r="H60" s="20">
        <v>0.0</v>
      </c>
      <c r="I60" s="20">
        <v>0.0</v>
      </c>
      <c r="J60" s="21">
        <v>157.0</v>
      </c>
      <c r="K60" s="21">
        <v>1418.0</v>
      </c>
      <c r="L60" s="21">
        <v>0.0</v>
      </c>
      <c r="M60" s="21">
        <v>0.0</v>
      </c>
      <c r="N60" s="21">
        <v>720.2213974</v>
      </c>
      <c r="O60" s="21">
        <v>554.662071</v>
      </c>
      <c r="P60" s="21">
        <v>1004.047702</v>
      </c>
      <c r="Q60" s="21">
        <v>1523.720452</v>
      </c>
      <c r="R60" s="21">
        <v>619.96</v>
      </c>
      <c r="S60" s="21">
        <v>323.49</v>
      </c>
      <c r="T60" s="21">
        <v>349.87</v>
      </c>
      <c r="U60" s="21">
        <v>128.26</v>
      </c>
    </row>
    <row r="61" ht="15.75" customHeight="1">
      <c r="A61" s="16">
        <v>45704.0</v>
      </c>
      <c r="B61" s="20">
        <f t="shared" si="1"/>
        <v>391</v>
      </c>
      <c r="C61" s="20">
        <v>134.0</v>
      </c>
      <c r="D61" s="21">
        <v>69127.79</v>
      </c>
      <c r="E61" s="20">
        <v>257.0</v>
      </c>
      <c r="F61" s="21">
        <v>91550.14</v>
      </c>
      <c r="G61" s="21">
        <f t="shared" si="2"/>
        <v>160677.93</v>
      </c>
      <c r="H61" s="20">
        <v>1.0</v>
      </c>
      <c r="I61" s="20">
        <v>0.0</v>
      </c>
      <c r="J61" s="21">
        <v>157.0</v>
      </c>
      <c r="K61" s="21">
        <v>1418.0</v>
      </c>
      <c r="L61" s="21">
        <v>0.0</v>
      </c>
      <c r="M61" s="21">
        <v>0.0</v>
      </c>
      <c r="N61" s="21">
        <v>855.1621998</v>
      </c>
      <c r="O61" s="21">
        <v>567.042066</v>
      </c>
      <c r="P61" s="21">
        <v>828.451065</v>
      </c>
      <c r="Q61" s="21">
        <v>206.356331</v>
      </c>
      <c r="R61" s="21">
        <v>687.17</v>
      </c>
      <c r="S61" s="21">
        <v>517.03</v>
      </c>
      <c r="T61" s="21">
        <v>347.5</v>
      </c>
      <c r="U61" s="21">
        <v>96.86</v>
      </c>
    </row>
    <row r="62" ht="15.75" customHeight="1">
      <c r="A62" s="16">
        <v>45711.0</v>
      </c>
      <c r="B62" s="20">
        <f t="shared" si="1"/>
        <v>432</v>
      </c>
      <c r="C62" s="20">
        <v>200.0</v>
      </c>
      <c r="D62" s="21">
        <v>122113.05</v>
      </c>
      <c r="E62" s="20">
        <v>232.0</v>
      </c>
      <c r="F62" s="21">
        <v>101758.0</v>
      </c>
      <c r="G62" s="21">
        <f t="shared" si="2"/>
        <v>223871.05</v>
      </c>
      <c r="H62" s="20">
        <v>0.0</v>
      </c>
      <c r="I62" s="20">
        <v>0.0</v>
      </c>
      <c r="J62" s="21">
        <v>157.0</v>
      </c>
      <c r="K62" s="21">
        <v>1912.0</v>
      </c>
      <c r="L62" s="21">
        <v>0.0</v>
      </c>
      <c r="M62" s="21">
        <v>1736.0</v>
      </c>
      <c r="N62" s="21">
        <v>1097.181977</v>
      </c>
      <c r="O62" s="21">
        <v>462.952531</v>
      </c>
      <c r="P62" s="21">
        <v>878.408599</v>
      </c>
      <c r="Q62" s="21">
        <v>1328.926598</v>
      </c>
      <c r="R62" s="21">
        <v>910.93</v>
      </c>
      <c r="S62" s="21">
        <v>809.64</v>
      </c>
      <c r="T62" s="21">
        <v>350.0</v>
      </c>
      <c r="U62" s="21">
        <v>155.82</v>
      </c>
    </row>
    <row r="63" ht="15.75" customHeight="1">
      <c r="A63" s="16">
        <v>45718.0</v>
      </c>
      <c r="B63" s="20">
        <f t="shared" si="1"/>
        <v>485</v>
      </c>
      <c r="C63" s="20">
        <v>203.0</v>
      </c>
      <c r="D63" s="21">
        <v>120412.89</v>
      </c>
      <c r="E63" s="20">
        <v>282.0</v>
      </c>
      <c r="F63" s="21">
        <v>125391.52</v>
      </c>
      <c r="G63" s="21">
        <f t="shared" si="2"/>
        <v>245804.41</v>
      </c>
      <c r="H63" s="20">
        <v>0.0</v>
      </c>
      <c r="I63" s="20">
        <v>1.0</v>
      </c>
      <c r="J63" s="21">
        <v>157.0</v>
      </c>
      <c r="K63" s="21">
        <v>1912.0</v>
      </c>
      <c r="L63" s="21">
        <v>0.0</v>
      </c>
      <c r="M63" s="21">
        <v>1736.0</v>
      </c>
      <c r="N63" s="21">
        <v>261.4208743</v>
      </c>
      <c r="O63" s="21">
        <v>673.47275</v>
      </c>
      <c r="P63" s="21">
        <v>950.24055</v>
      </c>
      <c r="Q63" s="21">
        <v>2545.641738</v>
      </c>
      <c r="R63" s="21">
        <v>1101.04</v>
      </c>
      <c r="S63" s="21">
        <v>1090.0</v>
      </c>
      <c r="T63" s="21">
        <v>350.0</v>
      </c>
      <c r="U63" s="21">
        <v>167.4</v>
      </c>
    </row>
    <row r="64" ht="15.75" customHeight="1">
      <c r="A64" s="16">
        <v>45725.0</v>
      </c>
      <c r="B64" s="20">
        <f t="shared" si="1"/>
        <v>552</v>
      </c>
      <c r="C64" s="20">
        <v>259.0</v>
      </c>
      <c r="D64" s="21">
        <v>170414.08</v>
      </c>
      <c r="E64" s="20">
        <v>293.0</v>
      </c>
      <c r="F64" s="21">
        <v>152460.82</v>
      </c>
      <c r="G64" s="21">
        <f t="shared" si="2"/>
        <v>322874.9</v>
      </c>
      <c r="H64" s="20">
        <v>1.0</v>
      </c>
      <c r="I64" s="20">
        <v>0.0</v>
      </c>
      <c r="J64" s="21">
        <v>157.0</v>
      </c>
      <c r="K64" s="21">
        <v>1912.0</v>
      </c>
      <c r="L64" s="21">
        <v>0.0</v>
      </c>
      <c r="M64" s="21">
        <v>1736.0</v>
      </c>
      <c r="N64" s="21">
        <v>608.5607473</v>
      </c>
      <c r="O64" s="21">
        <v>1083.536276</v>
      </c>
      <c r="P64" s="21">
        <v>934.610603</v>
      </c>
      <c r="Q64" s="21">
        <v>1594.631364</v>
      </c>
      <c r="R64" s="21">
        <v>1112.22</v>
      </c>
      <c r="S64" s="21">
        <v>983.38</v>
      </c>
      <c r="T64" s="21">
        <v>350.0</v>
      </c>
      <c r="U64" s="21">
        <v>153.78</v>
      </c>
    </row>
    <row r="65" ht="15.75" customHeight="1">
      <c r="A65" s="16">
        <v>45732.0</v>
      </c>
      <c r="B65" s="20">
        <f t="shared" si="1"/>
        <v>567</v>
      </c>
      <c r="C65" s="20">
        <v>251.0</v>
      </c>
      <c r="D65" s="21">
        <v>154340.93</v>
      </c>
      <c r="E65" s="20">
        <v>316.0</v>
      </c>
      <c r="F65" s="21">
        <v>142695.63</v>
      </c>
      <c r="G65" s="21">
        <f t="shared" si="2"/>
        <v>297036.56</v>
      </c>
      <c r="H65" s="20">
        <v>0.0</v>
      </c>
      <c r="I65" s="20">
        <v>0.0</v>
      </c>
      <c r="J65" s="21">
        <v>157.0</v>
      </c>
      <c r="K65" s="21">
        <v>3262.0</v>
      </c>
      <c r="L65" s="21">
        <v>0.0</v>
      </c>
      <c r="M65" s="21">
        <v>1736.0</v>
      </c>
      <c r="N65" s="21">
        <v>379.1923443</v>
      </c>
      <c r="O65" s="21">
        <v>2366.403232</v>
      </c>
      <c r="P65" s="21">
        <v>1036.30526</v>
      </c>
      <c r="Q65" s="21">
        <v>386.829038</v>
      </c>
      <c r="R65" s="21">
        <v>1150.83</v>
      </c>
      <c r="S65" s="21">
        <v>1169.65</v>
      </c>
      <c r="T65" s="21">
        <v>345.82</v>
      </c>
      <c r="U65" s="21">
        <v>141.6</v>
      </c>
    </row>
    <row r="66" ht="15.75" customHeight="1">
      <c r="A66" s="16">
        <v>45739.0</v>
      </c>
      <c r="B66" s="20">
        <f t="shared" si="1"/>
        <v>598</v>
      </c>
      <c r="C66" s="20">
        <v>289.0</v>
      </c>
      <c r="D66" s="21">
        <v>161322.58</v>
      </c>
      <c r="E66" s="20">
        <v>309.0</v>
      </c>
      <c r="F66" s="21">
        <v>139294.15</v>
      </c>
      <c r="G66" s="21">
        <f t="shared" si="2"/>
        <v>300616.73</v>
      </c>
      <c r="H66" s="20">
        <v>1.0</v>
      </c>
      <c r="I66" s="20">
        <v>0.0</v>
      </c>
      <c r="J66" s="21">
        <v>157.0</v>
      </c>
      <c r="K66" s="21">
        <v>3262.0</v>
      </c>
      <c r="L66" s="21">
        <v>0.0</v>
      </c>
      <c r="M66" s="21">
        <v>3673.0</v>
      </c>
      <c r="N66" s="21">
        <v>537.9431242</v>
      </c>
      <c r="O66" s="21">
        <v>2653.623251</v>
      </c>
      <c r="P66" s="21">
        <v>1010.76602</v>
      </c>
      <c r="Q66" s="21">
        <v>456.109074</v>
      </c>
      <c r="R66" s="21">
        <v>989.16</v>
      </c>
      <c r="S66" s="21">
        <v>1625.21</v>
      </c>
      <c r="T66" s="21">
        <v>417.89</v>
      </c>
      <c r="U66" s="21">
        <v>109.09</v>
      </c>
    </row>
    <row r="67" ht="15.75" customHeight="1">
      <c r="A67" s="16">
        <v>45746.0</v>
      </c>
      <c r="B67" s="20">
        <f t="shared" si="1"/>
        <v>588</v>
      </c>
      <c r="C67" s="20">
        <v>297.0</v>
      </c>
      <c r="D67" s="21">
        <v>163714.07</v>
      </c>
      <c r="E67" s="20">
        <v>291.0</v>
      </c>
      <c r="F67" s="21">
        <v>134137.04</v>
      </c>
      <c r="G67" s="21">
        <f t="shared" si="2"/>
        <v>297851.11</v>
      </c>
      <c r="H67" s="20">
        <v>0.0</v>
      </c>
      <c r="I67" s="20">
        <v>0.0</v>
      </c>
      <c r="J67" s="21">
        <v>157.0</v>
      </c>
      <c r="K67" s="21">
        <v>3802.0</v>
      </c>
      <c r="L67" s="21">
        <v>0.0</v>
      </c>
      <c r="M67" s="21">
        <v>0.0</v>
      </c>
      <c r="N67" s="21">
        <v>796.0365151</v>
      </c>
      <c r="O67" s="21">
        <v>2799.971931</v>
      </c>
      <c r="P67" s="21">
        <v>1321.332917</v>
      </c>
      <c r="Q67" s="21">
        <v>665.370418</v>
      </c>
      <c r="R67" s="21">
        <v>1061.07</v>
      </c>
      <c r="S67" s="21">
        <v>1950.48</v>
      </c>
      <c r="T67" s="21">
        <v>418.79</v>
      </c>
      <c r="U67" s="21">
        <v>84.87</v>
      </c>
    </row>
    <row r="68" ht="15.75" customHeight="1">
      <c r="A68" s="16">
        <v>45753.0</v>
      </c>
      <c r="B68" s="20">
        <f t="shared" si="1"/>
        <v>617</v>
      </c>
      <c r="C68" s="20">
        <v>264.0</v>
      </c>
      <c r="D68" s="21">
        <v>164942.23</v>
      </c>
      <c r="E68" s="20">
        <v>353.0</v>
      </c>
      <c r="F68" s="21">
        <v>142255.62</v>
      </c>
      <c r="G68" s="21">
        <f t="shared" si="2"/>
        <v>307197.85</v>
      </c>
      <c r="H68" s="20">
        <v>1.0</v>
      </c>
      <c r="I68" s="20">
        <v>0.0</v>
      </c>
      <c r="J68" s="21">
        <v>157.0</v>
      </c>
      <c r="K68" s="21">
        <v>3802.0</v>
      </c>
      <c r="L68" s="21">
        <v>0.0</v>
      </c>
      <c r="M68" s="21">
        <v>0.0</v>
      </c>
      <c r="N68" s="21">
        <v>374.1238451</v>
      </c>
      <c r="O68" s="21">
        <v>1008.702797</v>
      </c>
      <c r="P68" s="21">
        <v>1089.747196</v>
      </c>
      <c r="Q68" s="21">
        <v>716.902649</v>
      </c>
      <c r="R68" s="21">
        <v>1076.97</v>
      </c>
      <c r="S68" s="21">
        <v>1783.34</v>
      </c>
      <c r="T68" s="21">
        <v>382.21</v>
      </c>
      <c r="U68" s="21">
        <v>100.67</v>
      </c>
    </row>
    <row r="69" ht="15.75" customHeight="1">
      <c r="A69" s="16">
        <v>45760.0</v>
      </c>
      <c r="B69" s="20">
        <f t="shared" si="1"/>
        <v>628</v>
      </c>
      <c r="C69" s="20">
        <v>213.0</v>
      </c>
      <c r="D69" s="21">
        <v>124882.6</v>
      </c>
      <c r="E69" s="20">
        <v>415.0</v>
      </c>
      <c r="F69" s="21">
        <v>215070.76</v>
      </c>
      <c r="G69" s="21">
        <f t="shared" si="2"/>
        <v>339953.36</v>
      </c>
      <c r="H69" s="20">
        <v>0.0</v>
      </c>
      <c r="I69" s="20">
        <v>0.0</v>
      </c>
      <c r="J69" s="21">
        <v>157.0</v>
      </c>
      <c r="K69" s="21">
        <v>3802.0</v>
      </c>
      <c r="L69" s="21">
        <v>0.0</v>
      </c>
      <c r="M69" s="21">
        <v>0.0</v>
      </c>
      <c r="N69" s="21">
        <v>324.836291</v>
      </c>
      <c r="O69" s="21">
        <v>676.720172</v>
      </c>
      <c r="P69" s="21">
        <v>1062.459428</v>
      </c>
      <c r="Q69" s="21">
        <v>1074.764448</v>
      </c>
      <c r="R69" s="21">
        <v>768.6</v>
      </c>
      <c r="S69" s="21">
        <v>1437.38</v>
      </c>
      <c r="T69" s="21">
        <v>176.19</v>
      </c>
      <c r="U69" s="21">
        <v>115.96</v>
      </c>
    </row>
    <row r="70" ht="15.75" customHeight="1">
      <c r="A70" s="16">
        <v>45767.0</v>
      </c>
      <c r="B70" s="20">
        <f t="shared" si="1"/>
        <v>514</v>
      </c>
      <c r="C70" s="20">
        <v>219.0</v>
      </c>
      <c r="D70" s="21">
        <v>143449.27</v>
      </c>
      <c r="E70" s="20">
        <v>295.0</v>
      </c>
      <c r="F70" s="21">
        <v>124043.96</v>
      </c>
      <c r="G70" s="21">
        <f t="shared" si="2"/>
        <v>267493.23</v>
      </c>
      <c r="H70" s="20">
        <v>0.0</v>
      </c>
      <c r="I70" s="20">
        <v>1.0</v>
      </c>
      <c r="J70" s="21">
        <v>157.0</v>
      </c>
      <c r="K70" s="21">
        <v>3802.0</v>
      </c>
      <c r="L70" s="21">
        <v>0.0</v>
      </c>
      <c r="M70" s="21">
        <v>0.0</v>
      </c>
      <c r="N70" s="21">
        <v>550.813319</v>
      </c>
      <c r="O70" s="21">
        <v>1558.115447</v>
      </c>
      <c r="P70" s="21">
        <v>1102.701708</v>
      </c>
      <c r="Q70" s="21">
        <v>1376.607661</v>
      </c>
      <c r="R70" s="21">
        <v>774.93</v>
      </c>
      <c r="S70" s="21">
        <v>1723.71</v>
      </c>
      <c r="T70" s="21">
        <v>94.87</v>
      </c>
      <c r="U70" s="21">
        <v>58.89</v>
      </c>
    </row>
    <row r="71" ht="15.75" customHeight="1">
      <c r="A71" s="16">
        <v>45774.0</v>
      </c>
      <c r="B71" s="20">
        <f t="shared" si="1"/>
        <v>676</v>
      </c>
      <c r="C71" s="20">
        <v>300.0</v>
      </c>
      <c r="D71" s="21">
        <v>185442.96</v>
      </c>
      <c r="E71" s="20">
        <v>376.0</v>
      </c>
      <c r="F71" s="21">
        <v>165831.91</v>
      </c>
      <c r="G71" s="21">
        <f t="shared" si="2"/>
        <v>351274.87</v>
      </c>
      <c r="H71" s="20">
        <v>0.0</v>
      </c>
      <c r="I71" s="20">
        <v>1.0</v>
      </c>
      <c r="J71" s="21">
        <v>157.0</v>
      </c>
      <c r="K71" s="21">
        <v>5685.0</v>
      </c>
      <c r="L71" s="21">
        <v>0.0</v>
      </c>
      <c r="M71" s="21">
        <v>0.0</v>
      </c>
      <c r="N71" s="21">
        <v>593.5788713</v>
      </c>
      <c r="O71" s="21">
        <v>2884.416083</v>
      </c>
      <c r="P71" s="21">
        <v>1239.089569</v>
      </c>
      <c r="Q71" s="21">
        <v>1512.880498</v>
      </c>
      <c r="R71" s="21">
        <v>520.2</v>
      </c>
      <c r="S71" s="21">
        <v>2004.68</v>
      </c>
      <c r="T71" s="21">
        <v>134.93</v>
      </c>
      <c r="U71" s="21">
        <v>93.24</v>
      </c>
    </row>
    <row r="72" ht="15.75" customHeight="1">
      <c r="A72" s="16">
        <v>45781.0</v>
      </c>
      <c r="B72" s="20">
        <f t="shared" si="1"/>
        <v>752</v>
      </c>
      <c r="C72" s="20">
        <v>391.0</v>
      </c>
      <c r="D72" s="21">
        <v>203042.66</v>
      </c>
      <c r="E72" s="20">
        <v>361.0</v>
      </c>
      <c r="F72" s="21">
        <v>162875.45</v>
      </c>
      <c r="G72" s="21">
        <f t="shared" si="2"/>
        <v>365918.11</v>
      </c>
      <c r="H72" s="20">
        <v>1.0</v>
      </c>
      <c r="I72" s="20">
        <v>0.0</v>
      </c>
      <c r="J72" s="21">
        <v>157.0</v>
      </c>
      <c r="K72" s="21">
        <v>5685.0</v>
      </c>
      <c r="L72" s="21">
        <v>0.0</v>
      </c>
      <c r="M72" s="21">
        <v>0.0</v>
      </c>
      <c r="N72" s="21">
        <v>618.9253193</v>
      </c>
      <c r="O72" s="21">
        <v>2712.824319</v>
      </c>
      <c r="P72" s="21">
        <v>1457.021001</v>
      </c>
      <c r="Q72" s="21">
        <v>1996.046488</v>
      </c>
      <c r="R72" s="21">
        <v>371.93</v>
      </c>
      <c r="S72" s="21">
        <v>1806.7</v>
      </c>
      <c r="T72" s="21">
        <v>262.29</v>
      </c>
      <c r="U72" s="21">
        <v>148.73</v>
      </c>
    </row>
    <row r="73" ht="15.75" customHeight="1">
      <c r="A73" s="16">
        <v>45788.0</v>
      </c>
      <c r="B73" s="20">
        <f t="shared" si="1"/>
        <v>759</v>
      </c>
      <c r="C73" s="20">
        <v>365.0</v>
      </c>
      <c r="D73" s="21">
        <v>208871.86</v>
      </c>
      <c r="E73" s="20">
        <v>394.0</v>
      </c>
      <c r="F73" s="21">
        <v>183387.58</v>
      </c>
      <c r="G73" s="21">
        <f t="shared" si="2"/>
        <v>392259.44</v>
      </c>
      <c r="H73" s="20">
        <v>1.0</v>
      </c>
      <c r="I73" s="20">
        <v>0.0</v>
      </c>
      <c r="J73" s="21">
        <v>157.0</v>
      </c>
      <c r="K73" s="21">
        <v>5685.0</v>
      </c>
      <c r="L73" s="21">
        <v>0.0</v>
      </c>
      <c r="M73" s="21">
        <v>0.0</v>
      </c>
      <c r="N73" s="21">
        <v>332.6849246</v>
      </c>
      <c r="O73" s="21">
        <v>1666.502625</v>
      </c>
      <c r="P73" s="21">
        <v>1531.508503</v>
      </c>
      <c r="Q73" s="21">
        <v>1406.39638</v>
      </c>
      <c r="R73" s="21">
        <v>387.41</v>
      </c>
      <c r="S73" s="21">
        <v>3125.63</v>
      </c>
      <c r="T73" s="21">
        <v>420.0</v>
      </c>
      <c r="U73" s="21">
        <v>236.67</v>
      </c>
    </row>
    <row r="74" ht="15.75" customHeight="1">
      <c r="A74" s="16">
        <v>45795.0</v>
      </c>
      <c r="B74" s="20">
        <f t="shared" si="1"/>
        <v>649</v>
      </c>
      <c r="C74" s="20">
        <v>299.0</v>
      </c>
      <c r="D74" s="21">
        <v>181079.26</v>
      </c>
      <c r="E74" s="20">
        <v>350.0</v>
      </c>
      <c r="F74" s="21">
        <v>178319.74</v>
      </c>
      <c r="G74" s="21">
        <f t="shared" si="2"/>
        <v>359399</v>
      </c>
      <c r="H74" s="20">
        <v>0.0</v>
      </c>
      <c r="I74" s="20">
        <v>0.0</v>
      </c>
      <c r="J74" s="21">
        <v>157.0</v>
      </c>
      <c r="K74" s="21">
        <v>5685.0</v>
      </c>
      <c r="L74" s="21">
        <v>0.0</v>
      </c>
      <c r="M74" s="21">
        <v>7132.0</v>
      </c>
      <c r="N74" s="21">
        <v>180.9631394</v>
      </c>
      <c r="O74" s="21">
        <v>2299.64113</v>
      </c>
      <c r="P74" s="21">
        <v>2080.627119</v>
      </c>
      <c r="Q74" s="21">
        <v>2082.816279</v>
      </c>
      <c r="R74" s="21">
        <v>684.73</v>
      </c>
      <c r="S74" s="21">
        <v>2632.77</v>
      </c>
      <c r="T74" s="21">
        <v>626.46</v>
      </c>
      <c r="U74" s="21">
        <v>200.14</v>
      </c>
    </row>
    <row r="75" ht="15.75" customHeight="1">
      <c r="A75" s="16">
        <v>45802.0</v>
      </c>
      <c r="B75" s="20">
        <f t="shared" si="1"/>
        <v>716</v>
      </c>
      <c r="C75" s="20">
        <v>300.0</v>
      </c>
      <c r="D75" s="21">
        <v>168924.45</v>
      </c>
      <c r="E75" s="20">
        <v>416.0</v>
      </c>
      <c r="F75" s="21">
        <v>213293.4</v>
      </c>
      <c r="G75" s="21">
        <f t="shared" si="2"/>
        <v>382217.85</v>
      </c>
      <c r="H75" s="20">
        <v>0.0</v>
      </c>
      <c r="I75" s="20">
        <v>0.0</v>
      </c>
      <c r="J75" s="21">
        <v>157.0</v>
      </c>
      <c r="K75" s="21">
        <v>5060.0</v>
      </c>
      <c r="L75" s="21">
        <v>0.0</v>
      </c>
      <c r="M75" s="21">
        <v>9422.0</v>
      </c>
      <c r="N75" s="21">
        <v>162.5372029</v>
      </c>
      <c r="O75" s="21">
        <v>1573.703656</v>
      </c>
      <c r="P75" s="21">
        <v>3106.428208</v>
      </c>
      <c r="Q75" s="21">
        <v>910.52487</v>
      </c>
      <c r="R75" s="21">
        <v>622.57</v>
      </c>
      <c r="S75" s="21">
        <v>1195.66</v>
      </c>
      <c r="T75" s="21">
        <v>605.02</v>
      </c>
      <c r="U75" s="21">
        <v>209.52</v>
      </c>
    </row>
    <row r="76" ht="15.75" customHeight="1">
      <c r="A76" s="16">
        <v>45809.0</v>
      </c>
      <c r="B76" s="20">
        <f t="shared" si="1"/>
        <v>795</v>
      </c>
      <c r="C76" s="20">
        <v>396.0</v>
      </c>
      <c r="D76" s="21">
        <v>203351.13</v>
      </c>
      <c r="E76" s="20">
        <v>399.0</v>
      </c>
      <c r="F76" s="21">
        <v>184300.79</v>
      </c>
      <c r="G76" s="21">
        <f t="shared" si="2"/>
        <v>387651.92</v>
      </c>
      <c r="H76" s="20">
        <v>0.0</v>
      </c>
      <c r="I76" s="20">
        <v>0.0</v>
      </c>
      <c r="J76" s="21">
        <v>157.0</v>
      </c>
      <c r="K76" s="21">
        <v>5060.0</v>
      </c>
      <c r="L76" s="21">
        <v>0.0</v>
      </c>
      <c r="M76" s="21">
        <v>0.0</v>
      </c>
      <c r="N76" s="21">
        <v>359.2506262</v>
      </c>
      <c r="O76" s="21">
        <v>1107.487948</v>
      </c>
      <c r="P76" s="21">
        <v>2699.62173</v>
      </c>
      <c r="Q76" s="21">
        <v>584.0239</v>
      </c>
      <c r="R76" s="21">
        <v>806.97</v>
      </c>
      <c r="S76" s="21">
        <v>985.54</v>
      </c>
      <c r="T76" s="21">
        <v>419.99</v>
      </c>
      <c r="U76" s="21">
        <v>207.7</v>
      </c>
    </row>
    <row r="77" ht="15.75" customHeight="1">
      <c r="A77" s="16">
        <v>45816.0</v>
      </c>
      <c r="B77" s="20">
        <f t="shared" si="1"/>
        <v>956</v>
      </c>
      <c r="C77" s="20">
        <v>448.0</v>
      </c>
      <c r="D77" s="21">
        <v>271467.41</v>
      </c>
      <c r="E77" s="20">
        <v>508.0</v>
      </c>
      <c r="F77" s="21">
        <v>237282.73</v>
      </c>
      <c r="G77" s="21">
        <f t="shared" si="2"/>
        <v>508750.14</v>
      </c>
      <c r="H77" s="20">
        <v>1.0</v>
      </c>
      <c r="I77" s="20">
        <v>0.0</v>
      </c>
      <c r="J77" s="21">
        <v>157.0</v>
      </c>
      <c r="K77" s="21">
        <v>5354.0</v>
      </c>
      <c r="L77" s="21">
        <v>0.0</v>
      </c>
      <c r="M77" s="21">
        <v>0.0</v>
      </c>
      <c r="N77" s="21">
        <v>454.9621482</v>
      </c>
      <c r="O77" s="21">
        <v>1564.912101</v>
      </c>
      <c r="P77" s="21">
        <v>2623.210062</v>
      </c>
      <c r="Q77" s="21">
        <v>628.51347</v>
      </c>
      <c r="R77" s="21">
        <v>1075.44</v>
      </c>
      <c r="S77" s="21">
        <v>1030.56</v>
      </c>
      <c r="T77" s="21">
        <v>450.39</v>
      </c>
      <c r="U77" s="21">
        <v>237.25</v>
      </c>
    </row>
    <row r="78" ht="15.75" customHeight="1">
      <c r="A78" s="16">
        <v>45823.0</v>
      </c>
      <c r="B78" s="20">
        <f t="shared" si="1"/>
        <v>983</v>
      </c>
      <c r="C78" s="20">
        <v>435.0</v>
      </c>
      <c r="D78" s="21">
        <v>236621.11</v>
      </c>
      <c r="E78" s="20">
        <v>548.0</v>
      </c>
      <c r="F78" s="21">
        <v>217752.56</v>
      </c>
      <c r="G78" s="21">
        <f t="shared" si="2"/>
        <v>454373.67</v>
      </c>
      <c r="H78" s="20">
        <v>1.0</v>
      </c>
      <c r="I78" s="20">
        <v>0.0</v>
      </c>
      <c r="J78" s="21">
        <v>157.0</v>
      </c>
      <c r="K78" s="21">
        <v>5354.0</v>
      </c>
      <c r="L78" s="21">
        <v>0.0</v>
      </c>
      <c r="M78" s="21">
        <v>6589.0</v>
      </c>
      <c r="N78" s="21">
        <v>268.137814</v>
      </c>
      <c r="O78" s="21">
        <v>1978.06305</v>
      </c>
      <c r="P78" s="21">
        <v>2479.600812</v>
      </c>
      <c r="Q78" s="21">
        <v>723.193147</v>
      </c>
      <c r="R78" s="21">
        <v>452.84</v>
      </c>
      <c r="S78" s="21">
        <v>744.21</v>
      </c>
      <c r="T78" s="21">
        <v>698.59</v>
      </c>
      <c r="U78" s="21">
        <v>298.91</v>
      </c>
    </row>
    <row r="79" ht="15.75" customHeight="1">
      <c r="A79" s="16">
        <v>45830.0</v>
      </c>
      <c r="B79" s="20">
        <f t="shared" si="1"/>
        <v>970</v>
      </c>
      <c r="C79" s="20">
        <v>512.0</v>
      </c>
      <c r="D79" s="21">
        <v>249196.29</v>
      </c>
      <c r="E79" s="20">
        <v>458.0</v>
      </c>
      <c r="F79" s="21">
        <v>159969.62</v>
      </c>
      <c r="G79" s="21">
        <f t="shared" si="2"/>
        <v>409165.91</v>
      </c>
      <c r="H79" s="20">
        <v>1.0</v>
      </c>
      <c r="I79" s="20">
        <v>0.0</v>
      </c>
      <c r="J79" s="21">
        <v>157.0</v>
      </c>
      <c r="K79" s="21">
        <v>5354.0</v>
      </c>
      <c r="L79" s="21">
        <v>0.0</v>
      </c>
      <c r="M79" s="21">
        <v>0.0</v>
      </c>
      <c r="N79" s="21">
        <v>364.5093457</v>
      </c>
      <c r="O79" s="21">
        <v>1470.684423</v>
      </c>
      <c r="P79" s="21">
        <v>2992.3796</v>
      </c>
      <c r="Q79" s="21">
        <v>478.87449</v>
      </c>
      <c r="R79" s="21">
        <v>362.97</v>
      </c>
      <c r="S79" s="21">
        <v>847.26</v>
      </c>
      <c r="T79" s="21">
        <v>687.57</v>
      </c>
      <c r="U79" s="21">
        <v>339.21</v>
      </c>
    </row>
    <row r="80" ht="15.75" customHeight="1">
      <c r="A80" s="16">
        <v>45837.0</v>
      </c>
      <c r="B80" s="20">
        <f t="shared" si="1"/>
        <v>985</v>
      </c>
      <c r="C80" s="20">
        <v>476.0</v>
      </c>
      <c r="D80" s="21">
        <v>226668.15</v>
      </c>
      <c r="E80" s="20">
        <v>509.0</v>
      </c>
      <c r="F80" s="21">
        <v>231545.16</v>
      </c>
      <c r="G80" s="21">
        <f t="shared" si="2"/>
        <v>458213.31</v>
      </c>
      <c r="H80" s="20">
        <v>0.0</v>
      </c>
      <c r="I80" s="20">
        <v>0.0</v>
      </c>
      <c r="J80" s="21">
        <v>157.0</v>
      </c>
      <c r="K80" s="21">
        <v>8965.0</v>
      </c>
      <c r="L80" s="21">
        <v>0.0</v>
      </c>
      <c r="M80" s="21">
        <v>0.0</v>
      </c>
      <c r="N80" s="21">
        <v>280.5450145</v>
      </c>
      <c r="O80" s="21">
        <v>2043.891203</v>
      </c>
      <c r="P80" s="21">
        <v>2435.180751</v>
      </c>
      <c r="Q80" s="21">
        <v>424.888577</v>
      </c>
      <c r="R80" s="21">
        <v>575.75</v>
      </c>
      <c r="S80" s="21">
        <v>644.03</v>
      </c>
      <c r="T80" s="21">
        <v>699.71</v>
      </c>
      <c r="U80" s="21">
        <v>337.6</v>
      </c>
    </row>
    <row r="81" ht="15.75" customHeight="1">
      <c r="A81" s="16">
        <v>45844.0</v>
      </c>
      <c r="B81" s="20">
        <f t="shared" si="1"/>
        <v>803</v>
      </c>
      <c r="C81" s="20">
        <v>357.0</v>
      </c>
      <c r="D81" s="21">
        <v>197143.46</v>
      </c>
      <c r="E81" s="20">
        <v>446.0</v>
      </c>
      <c r="F81" s="21">
        <v>172154.93</v>
      </c>
      <c r="G81" s="21">
        <f t="shared" si="2"/>
        <v>369298.39</v>
      </c>
      <c r="H81" s="20">
        <v>1.0</v>
      </c>
      <c r="I81" s="20">
        <v>0.0</v>
      </c>
      <c r="J81" s="21">
        <v>157.0</v>
      </c>
      <c r="K81" s="21">
        <v>8965.0</v>
      </c>
      <c r="L81" s="21">
        <v>0.0</v>
      </c>
      <c r="M81" s="21">
        <v>0.0</v>
      </c>
      <c r="N81" s="21">
        <v>223.4140396</v>
      </c>
      <c r="O81" s="21">
        <v>1802.26787</v>
      </c>
      <c r="P81" s="21">
        <v>2417.26003</v>
      </c>
      <c r="Q81" s="21">
        <v>605.519061</v>
      </c>
      <c r="R81" s="21">
        <v>1068.24</v>
      </c>
      <c r="S81" s="21">
        <v>555.6</v>
      </c>
      <c r="T81" s="21">
        <v>940.18</v>
      </c>
      <c r="U81" s="21">
        <v>467.57</v>
      </c>
    </row>
    <row r="82" ht="15.75" customHeight="1">
      <c r="A82" s="16">
        <v>45851.0</v>
      </c>
      <c r="B82" s="20">
        <f t="shared" si="1"/>
        <v>762</v>
      </c>
      <c r="C82" s="20">
        <v>332.0</v>
      </c>
      <c r="D82" s="21">
        <v>173669.99</v>
      </c>
      <c r="E82" s="20">
        <v>430.0</v>
      </c>
      <c r="F82" s="21">
        <v>179936.66</v>
      </c>
      <c r="G82" s="21">
        <f t="shared" si="2"/>
        <v>353606.65</v>
      </c>
      <c r="H82" s="20">
        <v>0.0</v>
      </c>
      <c r="I82" s="20">
        <v>0.0</v>
      </c>
      <c r="J82" s="21">
        <v>157.0</v>
      </c>
      <c r="K82" s="21">
        <v>8965.0</v>
      </c>
      <c r="L82" s="21">
        <v>0.0</v>
      </c>
      <c r="M82" s="21">
        <v>0.0</v>
      </c>
      <c r="N82" s="21">
        <v>255.9009241</v>
      </c>
      <c r="O82" s="21">
        <v>1492.654186</v>
      </c>
      <c r="P82" s="21">
        <v>2232.420373</v>
      </c>
      <c r="Q82" s="21">
        <v>432.081113</v>
      </c>
      <c r="R82" s="21">
        <v>1533.9</v>
      </c>
      <c r="S82" s="21">
        <v>591.52</v>
      </c>
      <c r="T82" s="21">
        <v>979.92</v>
      </c>
      <c r="U82" s="21">
        <v>409.02</v>
      </c>
    </row>
    <row r="83" ht="15.75" customHeight="1">
      <c r="A83" s="16">
        <v>45858.0</v>
      </c>
      <c r="B83" s="20">
        <f t="shared" si="1"/>
        <v>846</v>
      </c>
      <c r="C83" s="20">
        <v>352.0</v>
      </c>
      <c r="D83" s="21">
        <v>194088.07</v>
      </c>
      <c r="E83" s="20">
        <v>494.0</v>
      </c>
      <c r="F83" s="21">
        <v>181945.64</v>
      </c>
      <c r="G83" s="21">
        <f t="shared" si="2"/>
        <v>376033.71</v>
      </c>
      <c r="H83" s="20">
        <v>0.0</v>
      </c>
      <c r="I83" s="20">
        <v>1.0</v>
      </c>
      <c r="J83" s="21">
        <v>157.0</v>
      </c>
      <c r="K83" s="21">
        <v>6074.0</v>
      </c>
      <c r="L83" s="21">
        <v>0.0</v>
      </c>
      <c r="M83" s="21">
        <v>0.0</v>
      </c>
      <c r="N83" s="21">
        <v>423.1554653</v>
      </c>
      <c r="O83" s="21">
        <v>1246.11</v>
      </c>
      <c r="P83" s="21">
        <v>2091.85856</v>
      </c>
      <c r="Q83" s="21">
        <v>350.827949</v>
      </c>
      <c r="R83" s="21">
        <v>1730.09</v>
      </c>
      <c r="S83" s="21">
        <v>801.03</v>
      </c>
      <c r="T83" s="21">
        <v>979.95</v>
      </c>
      <c r="U83" s="21">
        <v>393.36</v>
      </c>
    </row>
    <row r="84" ht="15.75" customHeight="1">
      <c r="A84" s="16">
        <v>45865.0</v>
      </c>
      <c r="B84" s="20">
        <f t="shared" si="1"/>
        <v>724</v>
      </c>
      <c r="C84" s="20">
        <v>287.0</v>
      </c>
      <c r="D84" s="21">
        <v>175291.86</v>
      </c>
      <c r="E84" s="20">
        <v>437.0</v>
      </c>
      <c r="F84" s="21">
        <v>195664.59</v>
      </c>
      <c r="G84" s="21">
        <f t="shared" si="2"/>
        <v>370956.45</v>
      </c>
      <c r="H84" s="20">
        <v>0.0</v>
      </c>
      <c r="I84" s="20">
        <v>0.0</v>
      </c>
      <c r="J84" s="21">
        <v>157.0</v>
      </c>
      <c r="K84" s="21">
        <v>2158.0</v>
      </c>
      <c r="L84" s="21">
        <v>0.0</v>
      </c>
      <c r="M84" s="21">
        <v>0.0</v>
      </c>
      <c r="N84" s="21">
        <v>296.9958435</v>
      </c>
      <c r="O84" s="21">
        <v>1270.04</v>
      </c>
      <c r="P84" s="21">
        <v>2054.037167</v>
      </c>
      <c r="Q84" s="21">
        <v>382.280053</v>
      </c>
      <c r="R84" s="21">
        <v>1226.19</v>
      </c>
      <c r="S84" s="21">
        <v>763.76</v>
      </c>
      <c r="T84" s="21">
        <v>679.91</v>
      </c>
      <c r="U84" s="21">
        <v>210.65</v>
      </c>
    </row>
    <row r="85" ht="15.75" customHeight="1">
      <c r="A85" s="16">
        <v>45872.0</v>
      </c>
      <c r="B85" s="20">
        <f t="shared" si="1"/>
        <v>712</v>
      </c>
      <c r="C85" s="20">
        <v>286.0</v>
      </c>
      <c r="D85" s="21">
        <v>155387.6</v>
      </c>
      <c r="E85" s="20">
        <v>426.0</v>
      </c>
      <c r="F85" s="21">
        <v>206096.91</v>
      </c>
      <c r="G85" s="21">
        <f t="shared" si="2"/>
        <v>361484.51</v>
      </c>
      <c r="H85" s="20">
        <v>0.0</v>
      </c>
      <c r="I85" s="20">
        <v>0.0</v>
      </c>
      <c r="J85" s="21">
        <v>157.0</v>
      </c>
      <c r="K85" s="21">
        <v>2158.0</v>
      </c>
      <c r="L85" s="21">
        <v>0.0</v>
      </c>
      <c r="M85" s="21">
        <v>0.0</v>
      </c>
      <c r="N85" s="21">
        <v>354.3135288</v>
      </c>
      <c r="O85" s="21">
        <v>1566.94</v>
      </c>
      <c r="P85" s="21">
        <v>2586.2517</v>
      </c>
      <c r="Q85" s="21">
        <v>629.468827</v>
      </c>
      <c r="R85" s="21">
        <v>1147.42</v>
      </c>
      <c r="S85" s="21">
        <v>611.09</v>
      </c>
      <c r="T85" s="21">
        <v>629.88</v>
      </c>
      <c r="U85" s="21">
        <v>162.49</v>
      </c>
    </row>
    <row r="86" ht="15.75" customHeight="1">
      <c r="A86" s="16">
        <v>45879.0</v>
      </c>
      <c r="B86" s="20">
        <f t="shared" si="1"/>
        <v>650</v>
      </c>
      <c r="C86" s="20">
        <v>262.0</v>
      </c>
      <c r="D86" s="21">
        <v>155895.56</v>
      </c>
      <c r="E86" s="20">
        <v>388.0</v>
      </c>
      <c r="F86" s="21">
        <v>147835.98</v>
      </c>
      <c r="G86" s="21">
        <f t="shared" si="2"/>
        <v>303731.54</v>
      </c>
      <c r="H86" s="20">
        <v>0.0</v>
      </c>
      <c r="I86" s="20">
        <v>0.0</v>
      </c>
      <c r="J86" s="21">
        <v>157.0</v>
      </c>
      <c r="K86" s="21">
        <v>2158.0</v>
      </c>
      <c r="L86" s="21">
        <v>0.0</v>
      </c>
      <c r="M86" s="21">
        <v>0.0</v>
      </c>
      <c r="N86" s="21">
        <v>288.5254274</v>
      </c>
      <c r="O86" s="21">
        <v>779.83</v>
      </c>
      <c r="P86" s="21">
        <v>1912.238095</v>
      </c>
      <c r="Q86" s="21">
        <v>218.241065</v>
      </c>
      <c r="R86" s="21">
        <v>508.49</v>
      </c>
      <c r="S86" s="21">
        <v>427.72</v>
      </c>
      <c r="T86" s="21">
        <v>549.63</v>
      </c>
      <c r="U86" s="21">
        <v>337.25</v>
      </c>
    </row>
    <row r="87" ht="15.75" customHeight="1">
      <c r="A87" s="16">
        <v>45886.0</v>
      </c>
      <c r="B87" s="20">
        <f t="shared" si="1"/>
        <v>1068</v>
      </c>
      <c r="C87" s="20">
        <v>759.0</v>
      </c>
      <c r="D87" s="21">
        <v>348383.25</v>
      </c>
      <c r="E87" s="20">
        <v>309.0</v>
      </c>
      <c r="F87" s="21">
        <v>107619.82</v>
      </c>
      <c r="G87" s="21">
        <f t="shared" si="2"/>
        <v>456003.07</v>
      </c>
      <c r="H87" s="20">
        <v>1.0</v>
      </c>
      <c r="I87" s="20">
        <v>0.0</v>
      </c>
      <c r="J87" s="21">
        <v>157.0</v>
      </c>
      <c r="K87" s="21">
        <v>2158.0</v>
      </c>
      <c r="L87" s="21">
        <v>0.0</v>
      </c>
      <c r="M87" s="21">
        <v>0.0</v>
      </c>
      <c r="N87" s="21">
        <v>277.3663055</v>
      </c>
      <c r="O87" s="21">
        <v>580.67</v>
      </c>
      <c r="P87" s="21">
        <v>1831.389918</v>
      </c>
      <c r="Q87" s="21">
        <v>273.731312</v>
      </c>
      <c r="R87" s="21">
        <v>1848.7</v>
      </c>
      <c r="S87" s="21">
        <v>1312.34</v>
      </c>
      <c r="T87" s="21">
        <v>642.32</v>
      </c>
      <c r="U87" s="21">
        <v>336.24</v>
      </c>
    </row>
    <row r="88" ht="15.75" customHeight="1">
      <c r="A88" s="16">
        <v>45893.0</v>
      </c>
      <c r="B88" s="20">
        <f t="shared" si="1"/>
        <v>1153</v>
      </c>
      <c r="C88" s="20">
        <v>829.0</v>
      </c>
      <c r="D88" s="21">
        <v>348222.03</v>
      </c>
      <c r="E88" s="20">
        <v>324.0</v>
      </c>
      <c r="F88" s="21">
        <v>123153.05</v>
      </c>
      <c r="G88" s="21">
        <f t="shared" si="2"/>
        <v>471375.08</v>
      </c>
      <c r="H88" s="20">
        <v>1.0</v>
      </c>
      <c r="I88" s="20">
        <v>0.0</v>
      </c>
      <c r="J88" s="21">
        <v>157.0</v>
      </c>
      <c r="K88" s="21">
        <v>1881.0</v>
      </c>
      <c r="L88" s="21">
        <v>0.0</v>
      </c>
      <c r="M88" s="21">
        <v>0.0</v>
      </c>
      <c r="N88" s="21">
        <v>158.4094244</v>
      </c>
      <c r="O88" s="21">
        <v>3178.57</v>
      </c>
      <c r="P88" s="21">
        <v>1820.935623</v>
      </c>
      <c r="Q88" s="21">
        <v>537.757933</v>
      </c>
      <c r="R88" s="21">
        <v>3387.79</v>
      </c>
      <c r="S88" s="21">
        <v>1676.14</v>
      </c>
      <c r="T88" s="21">
        <v>796.53</v>
      </c>
      <c r="U88" s="21">
        <v>222.53</v>
      </c>
    </row>
    <row r="89" ht="15.75" customHeight="1">
      <c r="A89" s="16">
        <v>45900.0</v>
      </c>
      <c r="B89" s="20">
        <f t="shared" si="1"/>
        <v>1059</v>
      </c>
      <c r="C89" s="20">
        <v>773.0</v>
      </c>
      <c r="D89" s="21">
        <v>307595.55</v>
      </c>
      <c r="E89" s="20">
        <v>286.0</v>
      </c>
      <c r="F89" s="21">
        <v>103531.68</v>
      </c>
      <c r="G89" s="21">
        <f t="shared" si="2"/>
        <v>411127.23</v>
      </c>
      <c r="H89" s="20">
        <v>1.0</v>
      </c>
      <c r="I89" s="20">
        <v>0.0</v>
      </c>
      <c r="J89" s="21">
        <v>157.0</v>
      </c>
      <c r="K89" s="21">
        <v>1881.0</v>
      </c>
      <c r="L89" s="21">
        <v>0.0</v>
      </c>
      <c r="M89" s="21">
        <v>0.0</v>
      </c>
      <c r="N89" s="21">
        <v>316.0042961</v>
      </c>
      <c r="O89" s="21">
        <v>4587.83</v>
      </c>
      <c r="P89" s="21">
        <v>1550.161196</v>
      </c>
      <c r="Q89" s="21">
        <v>697.257668</v>
      </c>
      <c r="R89" s="21">
        <v>2817.59</v>
      </c>
      <c r="S89" s="21">
        <v>2070.78</v>
      </c>
      <c r="T89" s="21">
        <v>481.78</v>
      </c>
      <c r="U89" s="21">
        <v>0.0</v>
      </c>
    </row>
    <row r="90" ht="15.75" customHeight="1">
      <c r="A90" s="16">
        <v>45907.0</v>
      </c>
      <c r="B90" s="20">
        <f t="shared" si="1"/>
        <v>843</v>
      </c>
      <c r="C90" s="20">
        <v>645.0</v>
      </c>
      <c r="D90" s="21">
        <v>267167.96</v>
      </c>
      <c r="E90" s="20">
        <v>198.0</v>
      </c>
      <c r="F90" s="21">
        <v>70703.32</v>
      </c>
      <c r="G90" s="21">
        <f t="shared" si="2"/>
        <v>337871.28</v>
      </c>
      <c r="H90" s="20">
        <v>1.0</v>
      </c>
      <c r="I90" s="20">
        <v>0.0</v>
      </c>
      <c r="J90" s="21">
        <v>157.0</v>
      </c>
      <c r="K90" s="21">
        <v>570.0</v>
      </c>
      <c r="L90" s="21">
        <v>0.0</v>
      </c>
      <c r="M90" s="21">
        <v>0.0</v>
      </c>
      <c r="N90" s="21">
        <v>222.7561095</v>
      </c>
      <c r="O90" s="21">
        <v>1906.95</v>
      </c>
      <c r="P90" s="21">
        <v>1139.46365</v>
      </c>
      <c r="Q90" s="21">
        <v>480.624412</v>
      </c>
      <c r="R90" s="21">
        <v>1411.67</v>
      </c>
      <c r="S90" s="21">
        <v>1735.98</v>
      </c>
      <c r="T90" s="21">
        <v>489.82</v>
      </c>
      <c r="U90" s="21">
        <v>0.0</v>
      </c>
    </row>
    <row r="91" ht="15.75" customHeight="1">
      <c r="A91" s="16">
        <v>45914.0</v>
      </c>
      <c r="B91" s="20">
        <f t="shared" si="1"/>
        <v>870</v>
      </c>
      <c r="C91" s="20">
        <v>668.0</v>
      </c>
      <c r="D91" s="21">
        <v>249877.77</v>
      </c>
      <c r="E91" s="20">
        <v>202.0</v>
      </c>
      <c r="F91" s="21">
        <v>76023.64</v>
      </c>
      <c r="G91" s="21">
        <f t="shared" si="2"/>
        <v>325901.41</v>
      </c>
      <c r="H91" s="20">
        <v>1.0</v>
      </c>
      <c r="I91" s="20">
        <v>0.0</v>
      </c>
      <c r="J91" s="21">
        <v>157.0</v>
      </c>
      <c r="K91" s="21">
        <v>570.0</v>
      </c>
      <c r="L91" s="21">
        <v>0.0</v>
      </c>
      <c r="M91" s="21">
        <v>0.0</v>
      </c>
      <c r="N91" s="21">
        <v>187.9955108</v>
      </c>
      <c r="O91" s="21">
        <v>2122.04</v>
      </c>
      <c r="P91" s="21">
        <v>957.549842</v>
      </c>
      <c r="Q91" s="21">
        <v>182.717568</v>
      </c>
      <c r="R91" s="21">
        <v>938.67</v>
      </c>
      <c r="S91" s="21">
        <v>1778.37</v>
      </c>
      <c r="T91" s="21">
        <v>470.2</v>
      </c>
      <c r="U91" s="21">
        <v>0.0</v>
      </c>
    </row>
    <row r="92" ht="15.75" customHeight="1">
      <c r="A92" s="16">
        <v>45921.0</v>
      </c>
      <c r="B92" s="20">
        <f t="shared" si="1"/>
        <v>546</v>
      </c>
      <c r="C92" s="20">
        <v>358.0</v>
      </c>
      <c r="D92" s="21">
        <v>141668.89</v>
      </c>
      <c r="E92" s="20">
        <v>188.0</v>
      </c>
      <c r="F92" s="21">
        <v>75726.48</v>
      </c>
      <c r="G92" s="21">
        <f t="shared" si="2"/>
        <v>217395.37</v>
      </c>
      <c r="H92" s="20">
        <v>1.0</v>
      </c>
      <c r="I92" s="20">
        <v>1.0</v>
      </c>
      <c r="J92" s="21">
        <v>157.0</v>
      </c>
      <c r="K92" s="21">
        <v>2773.0</v>
      </c>
      <c r="L92" s="21">
        <v>0.0</v>
      </c>
      <c r="M92" s="21">
        <v>0.0</v>
      </c>
      <c r="N92" s="21">
        <v>118.0039363</v>
      </c>
      <c r="O92" s="21">
        <v>1604.1</v>
      </c>
      <c r="P92" s="21">
        <v>715.595537</v>
      </c>
      <c r="Q92" s="21">
        <v>92.690134</v>
      </c>
      <c r="R92" s="21">
        <v>197.4</v>
      </c>
      <c r="S92" s="21">
        <v>374.19</v>
      </c>
      <c r="T92" s="21">
        <v>393.18</v>
      </c>
      <c r="U92" s="21">
        <v>0.0</v>
      </c>
    </row>
    <row r="93" ht="15.75" customHeight="1">
      <c r="A93" s="16">
        <v>45928.0</v>
      </c>
      <c r="B93" s="20">
        <f t="shared" si="1"/>
        <v>274</v>
      </c>
      <c r="C93" s="20">
        <v>134.0</v>
      </c>
      <c r="D93" s="21">
        <v>57240.37</v>
      </c>
      <c r="E93" s="20">
        <v>140.0</v>
      </c>
      <c r="F93" s="21">
        <v>60399.08</v>
      </c>
      <c r="G93" s="21">
        <f t="shared" si="2"/>
        <v>117639.45</v>
      </c>
      <c r="H93" s="20">
        <v>0.0</v>
      </c>
      <c r="I93" s="20">
        <v>0.0</v>
      </c>
      <c r="J93" s="21">
        <v>157.0</v>
      </c>
      <c r="K93" s="21">
        <v>2382.0</v>
      </c>
      <c r="L93" s="21">
        <v>0.0</v>
      </c>
      <c r="M93" s="21">
        <v>0.0</v>
      </c>
      <c r="N93" s="21">
        <v>44.43546832</v>
      </c>
      <c r="O93" s="21">
        <v>859.02</v>
      </c>
      <c r="P93" s="21">
        <v>485.847522</v>
      </c>
      <c r="Q93" s="21">
        <v>63.387998</v>
      </c>
      <c r="R93" s="21">
        <v>182.2</v>
      </c>
      <c r="S93" s="21">
        <v>89.62</v>
      </c>
      <c r="T93" s="21">
        <v>386.56</v>
      </c>
      <c r="U93" s="21">
        <v>0.0</v>
      </c>
    </row>
    <row r="94" ht="15.75" customHeight="1">
      <c r="A94" s="16">
        <v>45935.0</v>
      </c>
      <c r="B94" s="20">
        <f t="shared" si="1"/>
        <v>259</v>
      </c>
      <c r="C94" s="20">
        <v>111.0</v>
      </c>
      <c r="D94" s="21">
        <v>52042.22</v>
      </c>
      <c r="E94" s="20">
        <v>148.0</v>
      </c>
      <c r="F94" s="21">
        <v>53675.64</v>
      </c>
      <c r="G94" s="21">
        <f t="shared" si="2"/>
        <v>105717.86</v>
      </c>
      <c r="H94" s="20">
        <v>0.0</v>
      </c>
      <c r="I94" s="20">
        <v>1.0</v>
      </c>
      <c r="J94" s="21">
        <v>157.0</v>
      </c>
      <c r="K94" s="21">
        <v>2382.0</v>
      </c>
      <c r="L94" s="21">
        <v>0.0</v>
      </c>
      <c r="M94" s="21">
        <v>0.0</v>
      </c>
      <c r="N94" s="21">
        <v>43.20481267</v>
      </c>
      <c r="O94" s="21">
        <v>642.08</v>
      </c>
      <c r="P94" s="21">
        <v>351.463346</v>
      </c>
      <c r="Q94" s="21">
        <v>66.192081</v>
      </c>
      <c r="R94" s="21">
        <v>275.59</v>
      </c>
      <c r="S94" s="21">
        <v>72.3</v>
      </c>
      <c r="T94" s="21">
        <v>419.83</v>
      </c>
      <c r="U94" s="21">
        <v>0.0</v>
      </c>
    </row>
    <row r="95" ht="15.75" customHeight="1">
      <c r="A95" s="16">
        <v>45942.0</v>
      </c>
      <c r="B95" s="20">
        <f t="shared" si="1"/>
        <v>277</v>
      </c>
      <c r="C95" s="20">
        <v>120.0</v>
      </c>
      <c r="D95" s="21">
        <v>77378.5</v>
      </c>
      <c r="E95" s="20">
        <v>157.0</v>
      </c>
      <c r="F95" s="21">
        <v>72428.9</v>
      </c>
      <c r="G95" s="21">
        <f t="shared" si="2"/>
        <v>149807.4</v>
      </c>
      <c r="H95" s="20">
        <v>0.0</v>
      </c>
      <c r="I95" s="20">
        <v>1.0</v>
      </c>
      <c r="J95" s="21">
        <v>157.0</v>
      </c>
      <c r="K95" s="21">
        <v>2382.0</v>
      </c>
      <c r="L95" s="21">
        <v>0.0</v>
      </c>
      <c r="M95" s="21">
        <v>0.0</v>
      </c>
      <c r="N95" s="21">
        <v>26.07533463</v>
      </c>
      <c r="O95" s="21">
        <v>1475.21</v>
      </c>
      <c r="P95" s="21">
        <v>339.810822</v>
      </c>
      <c r="Q95" s="21">
        <v>38.2236</v>
      </c>
      <c r="R95" s="21">
        <v>271.52</v>
      </c>
      <c r="S95" s="21">
        <v>80.88</v>
      </c>
      <c r="T95" s="21">
        <v>420.0</v>
      </c>
      <c r="U95" s="21">
        <v>0.0</v>
      </c>
    </row>
    <row r="96" ht="15.75" customHeight="1">
      <c r="A96" s="16">
        <v>45949.0</v>
      </c>
      <c r="B96" s="20">
        <f t="shared" si="1"/>
        <v>279</v>
      </c>
      <c r="C96" s="20">
        <v>102.0</v>
      </c>
      <c r="D96" s="21">
        <v>63471.85</v>
      </c>
      <c r="E96" s="20">
        <v>177.0</v>
      </c>
      <c r="F96" s="21">
        <v>79206.45</v>
      </c>
      <c r="G96" s="21">
        <f t="shared" si="2"/>
        <v>142678.3</v>
      </c>
      <c r="H96" s="20">
        <v>0.0</v>
      </c>
      <c r="I96" s="20">
        <v>1.0</v>
      </c>
      <c r="J96" s="21">
        <v>157.0</v>
      </c>
      <c r="K96" s="21">
        <v>2382.0</v>
      </c>
      <c r="L96" s="21">
        <v>0.0</v>
      </c>
      <c r="M96" s="21">
        <v>0.0</v>
      </c>
      <c r="N96" s="21">
        <v>22.21175536</v>
      </c>
      <c r="O96" s="21">
        <v>718.37</v>
      </c>
      <c r="P96" s="21">
        <v>402.094614</v>
      </c>
      <c r="Q96" s="21">
        <v>35.752313</v>
      </c>
      <c r="R96" s="21">
        <v>428.81</v>
      </c>
      <c r="S96" s="21">
        <v>166.79</v>
      </c>
      <c r="T96" s="21">
        <v>294.96</v>
      </c>
      <c r="U96" s="21">
        <v>0.0</v>
      </c>
    </row>
    <row r="97" ht="15.75" customHeight="1">
      <c r="A97" s="16">
        <v>45956.0</v>
      </c>
      <c r="B97" s="20">
        <f t="shared" si="1"/>
        <v>257</v>
      </c>
      <c r="C97" s="20">
        <v>104.0</v>
      </c>
      <c r="D97" s="21">
        <v>81196.31</v>
      </c>
      <c r="E97" s="20">
        <v>153.0</v>
      </c>
      <c r="F97" s="21">
        <v>78248.67</v>
      </c>
      <c r="G97" s="21">
        <f t="shared" si="2"/>
        <v>159444.98</v>
      </c>
      <c r="H97" s="20">
        <v>0.0</v>
      </c>
      <c r="I97" s="20">
        <v>1.0</v>
      </c>
      <c r="J97" s="21">
        <v>157.0</v>
      </c>
      <c r="K97" s="21">
        <v>2435.0</v>
      </c>
      <c r="L97" s="21">
        <v>0.0</v>
      </c>
      <c r="M97" s="21">
        <v>0.0</v>
      </c>
      <c r="N97" s="21">
        <v>25.33010271</v>
      </c>
      <c r="O97" s="21">
        <v>343.86</v>
      </c>
      <c r="P97" s="21">
        <v>897.431532</v>
      </c>
      <c r="Q97" s="21">
        <v>11.957687</v>
      </c>
      <c r="R97" s="21">
        <v>265.29</v>
      </c>
      <c r="S97" s="21">
        <v>71.2</v>
      </c>
      <c r="T97" s="21">
        <v>140.0</v>
      </c>
      <c r="U97" s="21">
        <v>0.0</v>
      </c>
    </row>
    <row r="98" ht="15.75" customHeight="1">
      <c r="A98" s="16">
        <v>45963.0</v>
      </c>
      <c r="B98" s="20">
        <f t="shared" si="1"/>
        <v>431</v>
      </c>
      <c r="C98" s="20">
        <v>243.0</v>
      </c>
      <c r="D98" s="21">
        <v>112911.49</v>
      </c>
      <c r="E98" s="20">
        <v>188.0</v>
      </c>
      <c r="F98" s="21">
        <v>88762.19</v>
      </c>
      <c r="G98" s="21">
        <f t="shared" si="2"/>
        <v>201673.68</v>
      </c>
      <c r="H98" s="20">
        <v>0.0</v>
      </c>
      <c r="I98" s="20">
        <v>1.0</v>
      </c>
      <c r="J98" s="21">
        <v>157.0</v>
      </c>
      <c r="K98" s="21">
        <v>2435.0</v>
      </c>
      <c r="L98" s="21">
        <v>0.0</v>
      </c>
      <c r="M98" s="21">
        <v>0.0</v>
      </c>
      <c r="N98" s="21">
        <v>37.4851935</v>
      </c>
      <c r="O98" s="21">
        <v>22.79</v>
      </c>
      <c r="P98" s="21">
        <v>698.374467</v>
      </c>
      <c r="Q98" s="21">
        <v>5.438678</v>
      </c>
      <c r="R98" s="21">
        <v>354.42</v>
      </c>
      <c r="S98" s="21">
        <v>238.08</v>
      </c>
      <c r="T98" s="21">
        <v>140.0</v>
      </c>
      <c r="U98" s="21">
        <v>0.0</v>
      </c>
    </row>
    <row r="99" ht="15.75" customHeight="1">
      <c r="A99" s="16">
        <v>45970.0</v>
      </c>
      <c r="B99" s="20">
        <f t="shared" si="1"/>
        <v>345</v>
      </c>
      <c r="C99" s="20">
        <v>145.0</v>
      </c>
      <c r="D99" s="21">
        <v>80490.18</v>
      </c>
      <c r="E99" s="20">
        <v>200.0</v>
      </c>
      <c r="F99" s="21">
        <v>107621.48</v>
      </c>
      <c r="G99" s="21">
        <f t="shared" si="2"/>
        <v>188111.66</v>
      </c>
      <c r="H99" s="20">
        <v>0.0</v>
      </c>
      <c r="I99" s="20">
        <v>0.0</v>
      </c>
      <c r="J99" s="21">
        <v>157.0</v>
      </c>
      <c r="K99" s="21">
        <v>2435.0</v>
      </c>
      <c r="L99" s="21">
        <v>0.0</v>
      </c>
      <c r="M99" s="21">
        <v>0.0</v>
      </c>
      <c r="N99" s="21">
        <v>34.6121349</v>
      </c>
      <c r="O99" s="21">
        <v>17.33</v>
      </c>
      <c r="P99" s="21">
        <v>799.775504</v>
      </c>
      <c r="Q99" s="21">
        <v>39.098571</v>
      </c>
      <c r="R99" s="21">
        <v>421.65</v>
      </c>
      <c r="S99" s="21">
        <v>178.55</v>
      </c>
      <c r="T99" s="21">
        <v>176.29</v>
      </c>
      <c r="U99" s="21">
        <v>0.0</v>
      </c>
    </row>
    <row r="100" ht="15.75" customHeight="1">
      <c r="A100" s="16">
        <v>45977.0</v>
      </c>
      <c r="B100" s="20">
        <f t="shared" si="1"/>
        <v>365</v>
      </c>
      <c r="C100" s="20">
        <v>135.0</v>
      </c>
      <c r="D100" s="21">
        <v>88002.22</v>
      </c>
      <c r="E100" s="20">
        <v>230.0</v>
      </c>
      <c r="F100" s="21">
        <v>112598.48</v>
      </c>
      <c r="G100" s="21">
        <f t="shared" si="2"/>
        <v>200600.7</v>
      </c>
      <c r="H100" s="20">
        <v>0.0</v>
      </c>
      <c r="I100" s="20">
        <v>0.0</v>
      </c>
      <c r="J100" s="21">
        <v>157.0</v>
      </c>
      <c r="K100" s="21">
        <v>2435.0</v>
      </c>
      <c r="L100" s="21">
        <v>0.0</v>
      </c>
      <c r="M100" s="21">
        <v>0.0</v>
      </c>
      <c r="N100" s="21">
        <v>15.36905465</v>
      </c>
      <c r="O100" s="21">
        <v>202.02</v>
      </c>
      <c r="P100" s="21">
        <v>881.061722</v>
      </c>
      <c r="Q100" s="21">
        <v>76.493735</v>
      </c>
      <c r="R100" s="21">
        <v>321.14</v>
      </c>
      <c r="S100" s="21">
        <v>114.82</v>
      </c>
      <c r="T100" s="21">
        <v>182.0</v>
      </c>
      <c r="U100" s="21">
        <v>0.0</v>
      </c>
    </row>
    <row r="101" ht="15.75" customHeight="1">
      <c r="A101" s="16">
        <v>45984.0</v>
      </c>
      <c r="B101" s="20">
        <f t="shared" si="1"/>
        <v>455</v>
      </c>
      <c r="C101" s="20">
        <v>204.0</v>
      </c>
      <c r="D101" s="21">
        <v>113307.41</v>
      </c>
      <c r="E101" s="20">
        <v>251.0</v>
      </c>
      <c r="F101" s="21">
        <v>116488.13</v>
      </c>
      <c r="G101" s="21">
        <f t="shared" si="2"/>
        <v>229795.54</v>
      </c>
      <c r="H101" s="20">
        <v>1.0</v>
      </c>
      <c r="I101" s="20">
        <v>0.0</v>
      </c>
      <c r="J101" s="21">
        <v>157.0</v>
      </c>
      <c r="K101" s="21">
        <v>2867.0</v>
      </c>
      <c r="L101" s="21">
        <v>0.0</v>
      </c>
      <c r="M101" s="21">
        <v>0.0</v>
      </c>
      <c r="N101" s="21">
        <v>32.94545001</v>
      </c>
      <c r="O101" s="21">
        <v>1183.45</v>
      </c>
      <c r="P101" s="21">
        <v>1079.007949</v>
      </c>
      <c r="Q101" s="21">
        <v>100.032941</v>
      </c>
      <c r="R101" s="21">
        <v>320.34</v>
      </c>
      <c r="S101" s="21">
        <v>182.56</v>
      </c>
      <c r="T101" s="21">
        <v>152.21</v>
      </c>
      <c r="U101" s="21">
        <v>0.0</v>
      </c>
    </row>
    <row r="102" ht="15.75" customHeight="1">
      <c r="A102" s="16">
        <v>45991.0</v>
      </c>
      <c r="B102" s="20">
        <f t="shared" si="1"/>
        <v>508</v>
      </c>
      <c r="C102" s="20">
        <v>227.0</v>
      </c>
      <c r="D102" s="21">
        <v>132770.38</v>
      </c>
      <c r="E102" s="20">
        <v>281.0</v>
      </c>
      <c r="F102" s="21">
        <v>151460.17</v>
      </c>
      <c r="G102" s="21">
        <f t="shared" si="2"/>
        <v>284230.55</v>
      </c>
      <c r="H102" s="20">
        <v>1.0</v>
      </c>
      <c r="I102" s="20">
        <v>0.0</v>
      </c>
      <c r="J102" s="21">
        <v>157.0</v>
      </c>
      <c r="K102" s="21">
        <v>2867.0</v>
      </c>
      <c r="L102" s="21">
        <v>0.0</v>
      </c>
      <c r="M102" s="21">
        <v>11158.0</v>
      </c>
      <c r="N102" s="21">
        <v>22.20886669</v>
      </c>
      <c r="O102" s="21">
        <v>611.7</v>
      </c>
      <c r="P102" s="21">
        <v>1066.651884</v>
      </c>
      <c r="Q102" s="21">
        <v>70.994693</v>
      </c>
      <c r="R102" s="21">
        <v>469.09</v>
      </c>
      <c r="S102" s="21">
        <v>138.74</v>
      </c>
      <c r="T102" s="21">
        <v>140.0</v>
      </c>
      <c r="U102" s="21">
        <v>0.0</v>
      </c>
    </row>
    <row r="103" ht="15.75" customHeight="1">
      <c r="A103" s="16">
        <v>45998.0</v>
      </c>
      <c r="B103" s="20">
        <f t="shared" si="1"/>
        <v>525</v>
      </c>
      <c r="C103" s="20">
        <v>181.0</v>
      </c>
      <c r="D103" s="21">
        <v>108554.65</v>
      </c>
      <c r="E103" s="20">
        <v>344.0</v>
      </c>
      <c r="F103" s="21">
        <v>173770.57</v>
      </c>
      <c r="G103" s="21">
        <f t="shared" si="2"/>
        <v>282325.22</v>
      </c>
      <c r="H103" s="20">
        <v>0.0</v>
      </c>
      <c r="I103" s="20">
        <v>0.0</v>
      </c>
      <c r="J103" s="21">
        <v>157.0</v>
      </c>
      <c r="K103" s="21">
        <v>2867.0</v>
      </c>
      <c r="L103" s="21">
        <v>0.0</v>
      </c>
      <c r="M103" s="21">
        <v>1736.0</v>
      </c>
      <c r="N103" s="21">
        <v>65.45463285</v>
      </c>
      <c r="O103" s="21">
        <v>401.91</v>
      </c>
      <c r="P103" s="21">
        <v>1043.330326</v>
      </c>
      <c r="Q103" s="21">
        <v>72.349681</v>
      </c>
      <c r="R103" s="21">
        <v>478.82</v>
      </c>
      <c r="S103" s="21">
        <v>367.05</v>
      </c>
      <c r="T103" s="21">
        <v>296.17</v>
      </c>
      <c r="U103" s="21">
        <v>0.0</v>
      </c>
    </row>
    <row r="104" ht="15.75" customHeight="1">
      <c r="A104" s="16">
        <v>46005.0</v>
      </c>
      <c r="B104" s="20">
        <f t="shared" si="1"/>
        <v>980</v>
      </c>
      <c r="C104" s="20">
        <v>503.0</v>
      </c>
      <c r="D104" s="21">
        <v>254265.54</v>
      </c>
      <c r="E104" s="20">
        <v>477.0</v>
      </c>
      <c r="F104" s="21">
        <v>224287.74</v>
      </c>
      <c r="G104" s="21">
        <f t="shared" si="2"/>
        <v>478553.28</v>
      </c>
      <c r="H104" s="20">
        <v>1.0</v>
      </c>
      <c r="I104" s="20">
        <v>0.0</v>
      </c>
      <c r="J104" s="21">
        <v>157.0</v>
      </c>
      <c r="K104" s="21">
        <v>2867.0</v>
      </c>
      <c r="L104" s="21">
        <v>0.0</v>
      </c>
      <c r="M104" s="21">
        <v>1736.0</v>
      </c>
      <c r="N104" s="21">
        <v>58.5574206</v>
      </c>
      <c r="O104" s="21">
        <v>1015.04</v>
      </c>
      <c r="P104" s="21">
        <v>1224.786249</v>
      </c>
      <c r="Q104" s="21">
        <v>88.543797</v>
      </c>
      <c r="R104" s="21">
        <v>1309.92</v>
      </c>
      <c r="S104" s="21">
        <v>544.39</v>
      </c>
      <c r="T104" s="21">
        <v>379.58</v>
      </c>
      <c r="U104" s="21">
        <v>4.22</v>
      </c>
    </row>
    <row r="105" ht="15.75" customHeight="1">
      <c r="A105" s="16">
        <v>46012.0</v>
      </c>
      <c r="B105" s="20">
        <f t="shared" si="1"/>
        <v>1109</v>
      </c>
      <c r="C105" s="20">
        <v>480.0</v>
      </c>
      <c r="D105" s="21">
        <v>208360.75</v>
      </c>
      <c r="E105" s="20">
        <v>629.0</v>
      </c>
      <c r="F105" s="21">
        <v>262721.78</v>
      </c>
      <c r="G105" s="21">
        <f t="shared" si="2"/>
        <v>471082.53</v>
      </c>
      <c r="H105" s="20">
        <v>1.0</v>
      </c>
      <c r="I105" s="20">
        <v>0.0</v>
      </c>
      <c r="J105" s="21">
        <v>157.0</v>
      </c>
      <c r="K105" s="21">
        <v>2867.0</v>
      </c>
      <c r="L105" s="21">
        <v>0.0</v>
      </c>
      <c r="M105" s="21">
        <v>1736.0</v>
      </c>
      <c r="N105" s="21">
        <v>72.24552366</v>
      </c>
      <c r="O105" s="21">
        <v>1499.33</v>
      </c>
      <c r="P105" s="21">
        <v>988.789776</v>
      </c>
      <c r="Q105" s="21">
        <v>109.184071</v>
      </c>
      <c r="R105" s="21">
        <v>1571.53</v>
      </c>
      <c r="S105" s="21">
        <v>630.16</v>
      </c>
      <c r="T105" s="21">
        <v>241.08</v>
      </c>
      <c r="U105" s="21">
        <v>127.07</v>
      </c>
    </row>
    <row r="106" ht="15.75" customHeight="1">
      <c r="A106" s="16">
        <v>46019.0</v>
      </c>
      <c r="B106" s="20">
        <f t="shared" si="1"/>
        <v>1148</v>
      </c>
      <c r="C106" s="20">
        <v>670.0</v>
      </c>
      <c r="D106" s="21">
        <v>268323.71</v>
      </c>
      <c r="E106" s="20">
        <v>478.0</v>
      </c>
      <c r="F106" s="21">
        <v>161158.98</v>
      </c>
      <c r="G106" s="21">
        <f t="shared" si="2"/>
        <v>429482.69</v>
      </c>
      <c r="H106" s="20">
        <v>0.0</v>
      </c>
      <c r="I106" s="20">
        <v>0.0</v>
      </c>
      <c r="J106" s="21">
        <v>178.0</v>
      </c>
      <c r="K106" s="21">
        <v>425.0</v>
      </c>
      <c r="L106" s="21">
        <v>0.0</v>
      </c>
      <c r="M106" s="21">
        <v>0.0</v>
      </c>
      <c r="N106" s="21">
        <v>60.68867102</v>
      </c>
      <c r="O106" s="21">
        <v>5425.75</v>
      </c>
      <c r="P106" s="21">
        <v>1145.871557</v>
      </c>
      <c r="Q106" s="21">
        <v>274.170209</v>
      </c>
      <c r="R106" s="21">
        <v>2835.48</v>
      </c>
      <c r="S106" s="21">
        <v>1400.62</v>
      </c>
      <c r="T106" s="21">
        <v>714.56</v>
      </c>
      <c r="U106" s="21">
        <v>272.26</v>
      </c>
    </row>
    <row r="107" ht="15.75" customHeight="1">
      <c r="A107" s="16">
        <v>46026.0</v>
      </c>
      <c r="B107" s="20">
        <f t="shared" si="1"/>
        <v>1366</v>
      </c>
      <c r="C107" s="20">
        <v>978.0</v>
      </c>
      <c r="D107" s="21">
        <v>354688.14</v>
      </c>
      <c r="E107" s="20">
        <v>388.0</v>
      </c>
      <c r="F107" s="21">
        <v>122870.35</v>
      </c>
      <c r="G107" s="21">
        <f t="shared" si="2"/>
        <v>477558.49</v>
      </c>
      <c r="H107" s="20">
        <v>1.0</v>
      </c>
      <c r="I107" s="20">
        <v>0.0</v>
      </c>
      <c r="J107" s="21">
        <v>178.0</v>
      </c>
      <c r="K107" s="21">
        <v>425.0</v>
      </c>
      <c r="L107" s="21">
        <v>0.0</v>
      </c>
      <c r="M107" s="21">
        <v>0.0</v>
      </c>
      <c r="N107" s="21">
        <v>64.79238479</v>
      </c>
      <c r="O107" s="21">
        <v>6732.71</v>
      </c>
      <c r="P107" s="21">
        <v>2191.226283</v>
      </c>
      <c r="Q107" s="21">
        <v>1026.767756</v>
      </c>
      <c r="R107" s="21">
        <v>5649.6</v>
      </c>
      <c r="S107" s="21">
        <v>2348.96</v>
      </c>
      <c r="T107" s="21">
        <v>853.4</v>
      </c>
      <c r="U107" s="21">
        <v>450.83</v>
      </c>
    </row>
    <row r="108" ht="15.75" customHeight="1">
      <c r="A108" s="16">
        <v>46033.0</v>
      </c>
      <c r="B108" s="20">
        <f t="shared" si="1"/>
        <v>901</v>
      </c>
      <c r="C108" s="20">
        <v>591.0</v>
      </c>
      <c r="D108" s="21">
        <v>234065.92</v>
      </c>
      <c r="E108" s="20">
        <v>310.0</v>
      </c>
      <c r="F108" s="21">
        <v>102969.66</v>
      </c>
      <c r="G108" s="21">
        <f t="shared" si="2"/>
        <v>337035.58</v>
      </c>
      <c r="H108" s="20">
        <v>0.0</v>
      </c>
      <c r="I108" s="20">
        <v>0.0</v>
      </c>
      <c r="J108" s="21">
        <v>178.0</v>
      </c>
      <c r="K108" s="21">
        <v>425.0</v>
      </c>
      <c r="L108" s="21">
        <v>0.0</v>
      </c>
      <c r="M108" s="21">
        <v>0.0</v>
      </c>
      <c r="N108" s="21">
        <v>59.12051943</v>
      </c>
      <c r="O108" s="21">
        <v>3334.98</v>
      </c>
      <c r="P108" s="21">
        <v>1586.948613</v>
      </c>
      <c r="Q108" s="21">
        <v>525.910433</v>
      </c>
      <c r="R108" s="21">
        <v>2174.96</v>
      </c>
      <c r="S108" s="21">
        <v>960.01</v>
      </c>
      <c r="T108" s="21">
        <v>394.83</v>
      </c>
      <c r="U108" s="21">
        <v>281.14</v>
      </c>
    </row>
    <row r="109" ht="15.75" customHeight="1">
      <c r="A109" s="16">
        <v>46040.0</v>
      </c>
      <c r="B109" s="20">
        <f t="shared" si="1"/>
        <v>656</v>
      </c>
      <c r="C109" s="20">
        <v>429.0</v>
      </c>
      <c r="D109" s="21">
        <v>176894.81</v>
      </c>
      <c r="E109" s="20">
        <v>227.0</v>
      </c>
      <c r="F109" s="21">
        <v>79298.48</v>
      </c>
      <c r="G109" s="21">
        <f t="shared" si="2"/>
        <v>256193.29</v>
      </c>
      <c r="H109" s="20">
        <v>1.0</v>
      </c>
      <c r="I109" s="20">
        <v>1.0</v>
      </c>
      <c r="J109" s="21">
        <v>178.0</v>
      </c>
      <c r="K109" s="21">
        <v>425.0</v>
      </c>
      <c r="L109" s="21">
        <v>0.0</v>
      </c>
      <c r="M109" s="21">
        <v>0.0</v>
      </c>
      <c r="N109" s="21">
        <v>75.79255908</v>
      </c>
      <c r="O109" s="21">
        <v>1241.49</v>
      </c>
      <c r="P109" s="21">
        <v>1086.582559</v>
      </c>
      <c r="Q109" s="21">
        <v>377.530016</v>
      </c>
      <c r="R109" s="21">
        <v>620.13</v>
      </c>
      <c r="S109" s="21">
        <v>404.7</v>
      </c>
      <c r="T109" s="21">
        <v>163.01</v>
      </c>
      <c r="U109" s="21">
        <v>96.88</v>
      </c>
    </row>
    <row r="110" ht="15.75" customHeight="1">
      <c r="A110" s="16">
        <v>46047.0</v>
      </c>
      <c r="B110" s="20">
        <f t="shared" si="1"/>
        <v>409</v>
      </c>
      <c r="C110" s="20">
        <v>174.0</v>
      </c>
      <c r="D110" s="21">
        <v>127227.17</v>
      </c>
      <c r="E110" s="20">
        <v>235.0</v>
      </c>
      <c r="F110" s="21">
        <v>116977.81</v>
      </c>
      <c r="G110" s="21">
        <f t="shared" si="2"/>
        <v>244204.98</v>
      </c>
      <c r="H110" s="20">
        <v>0.0</v>
      </c>
      <c r="I110" s="20">
        <v>1.0</v>
      </c>
      <c r="J110" s="21">
        <v>178.0</v>
      </c>
      <c r="K110" s="21">
        <v>2173.0</v>
      </c>
      <c r="L110" s="21">
        <v>0.0</v>
      </c>
      <c r="M110" s="21">
        <v>0.0</v>
      </c>
      <c r="N110" s="21">
        <v>52.36725953</v>
      </c>
      <c r="O110" s="21">
        <v>1369.43</v>
      </c>
      <c r="P110" s="21">
        <v>921.023851</v>
      </c>
      <c r="Q110" s="21">
        <v>208.72919</v>
      </c>
      <c r="R110" s="21">
        <v>518.02</v>
      </c>
      <c r="S110" s="21">
        <v>239.8</v>
      </c>
      <c r="T110" s="21">
        <v>0.0</v>
      </c>
      <c r="U110" s="21">
        <v>0.0</v>
      </c>
    </row>
    <row r="111" ht="15.75" customHeight="1">
      <c r="A111" s="16">
        <v>46054.0</v>
      </c>
      <c r="B111" s="20">
        <f t="shared" si="1"/>
        <v>398</v>
      </c>
      <c r="C111" s="20">
        <v>195.0</v>
      </c>
      <c r="D111" s="21">
        <v>135585.19</v>
      </c>
      <c r="E111" s="20">
        <v>203.0</v>
      </c>
      <c r="F111" s="21">
        <v>99331.59</v>
      </c>
      <c r="G111" s="21">
        <f t="shared" si="2"/>
        <v>234916.78</v>
      </c>
      <c r="H111" s="20">
        <v>0.0</v>
      </c>
      <c r="I111" s="20">
        <v>0.0</v>
      </c>
      <c r="J111" s="21">
        <v>178.0</v>
      </c>
      <c r="K111" s="21">
        <v>2173.0</v>
      </c>
      <c r="L111" s="21">
        <v>0.0</v>
      </c>
      <c r="M111" s="21">
        <v>0.0</v>
      </c>
      <c r="N111" s="21">
        <v>73.08543733</v>
      </c>
      <c r="O111" s="21">
        <v>871.16</v>
      </c>
      <c r="P111" s="21">
        <v>530.806256</v>
      </c>
      <c r="Q111" s="21">
        <v>376.302743</v>
      </c>
      <c r="R111" s="21">
        <v>311.32</v>
      </c>
      <c r="S111" s="21">
        <v>208.09</v>
      </c>
      <c r="T111" s="21">
        <v>25.49</v>
      </c>
      <c r="U111" s="21">
        <v>25.57</v>
      </c>
    </row>
    <row r="112" ht="15.75" customHeight="1">
      <c r="A112" s="16">
        <v>46061.0</v>
      </c>
      <c r="B112" s="20">
        <f t="shared" si="1"/>
        <v>492</v>
      </c>
      <c r="C112" s="20">
        <v>190.0</v>
      </c>
      <c r="D112" s="21">
        <v>121524.46</v>
      </c>
      <c r="E112" s="20">
        <v>302.0</v>
      </c>
      <c r="F112" s="21">
        <v>175207.6</v>
      </c>
      <c r="G112" s="21">
        <f t="shared" si="2"/>
        <v>296732.06</v>
      </c>
      <c r="H112" s="20">
        <v>0.0</v>
      </c>
      <c r="I112" s="20">
        <v>0.0</v>
      </c>
      <c r="J112" s="21">
        <v>178.0</v>
      </c>
      <c r="K112" s="21">
        <v>2173.0</v>
      </c>
      <c r="L112" s="21">
        <v>0.0</v>
      </c>
      <c r="M112" s="21">
        <v>0.0</v>
      </c>
      <c r="N112" s="21">
        <v>45.30123496</v>
      </c>
      <c r="O112" s="21">
        <v>974.16</v>
      </c>
      <c r="P112" s="21">
        <v>716.174952</v>
      </c>
      <c r="Q112" s="21">
        <v>415.631129</v>
      </c>
      <c r="R112" s="21">
        <v>385.42</v>
      </c>
      <c r="S112" s="21">
        <v>235.74</v>
      </c>
      <c r="T112" s="21">
        <v>4.57</v>
      </c>
      <c r="U112" s="21">
        <v>297.11</v>
      </c>
    </row>
    <row r="113" ht="15.75" customHeight="1">
      <c r="A113" s="16">
        <v>46068.0</v>
      </c>
      <c r="B113" s="20">
        <f t="shared" si="1"/>
        <v>487</v>
      </c>
      <c r="C113" s="20">
        <v>175.0</v>
      </c>
      <c r="D113" s="21">
        <v>116724.45</v>
      </c>
      <c r="E113" s="20">
        <v>312.0</v>
      </c>
      <c r="F113" s="21">
        <v>164989.11</v>
      </c>
      <c r="G113" s="21">
        <f t="shared" si="2"/>
        <v>281713.56</v>
      </c>
      <c r="H113" s="20">
        <v>0.0</v>
      </c>
      <c r="I113" s="20">
        <v>0.0</v>
      </c>
      <c r="J113" s="21">
        <v>178.0</v>
      </c>
      <c r="K113" s="21">
        <v>2173.0</v>
      </c>
      <c r="L113" s="21">
        <v>0.0</v>
      </c>
      <c r="M113" s="21">
        <v>0.0</v>
      </c>
      <c r="N113" s="21">
        <v>69.77083024</v>
      </c>
      <c r="O113" s="21">
        <v>942.76</v>
      </c>
      <c r="P113" s="21">
        <v>832.361934</v>
      </c>
      <c r="Q113" s="21">
        <v>491.260949</v>
      </c>
      <c r="R113" s="21">
        <v>374.76</v>
      </c>
      <c r="S113" s="21">
        <v>244.12</v>
      </c>
      <c r="T113" s="21">
        <v>191.65</v>
      </c>
      <c r="U113" s="21">
        <v>263.04</v>
      </c>
    </row>
    <row r="114" ht="15.75" customHeight="1">
      <c r="A114" s="16">
        <v>46075.0</v>
      </c>
      <c r="B114" s="20">
        <f t="shared" si="1"/>
        <v>473</v>
      </c>
      <c r="C114" s="20">
        <v>190.0</v>
      </c>
      <c r="D114" s="21">
        <v>134685.2</v>
      </c>
      <c r="E114" s="20">
        <v>283.0</v>
      </c>
      <c r="F114" s="21">
        <v>158919.08</v>
      </c>
      <c r="G114" s="21">
        <f t="shared" si="2"/>
        <v>293604.28</v>
      </c>
      <c r="H114" s="20">
        <v>0.0</v>
      </c>
      <c r="I114" s="20">
        <v>0.0</v>
      </c>
      <c r="J114" s="21">
        <v>178.0</v>
      </c>
      <c r="K114" s="21">
        <v>8925.0</v>
      </c>
      <c r="L114" s="21">
        <v>0.0</v>
      </c>
      <c r="M114" s="21">
        <v>0.0</v>
      </c>
      <c r="N114" s="21">
        <v>34.37770747</v>
      </c>
      <c r="O114" s="21">
        <v>812.47</v>
      </c>
      <c r="P114" s="21">
        <v>1159.91798</v>
      </c>
      <c r="Q114" s="21">
        <v>729.396052</v>
      </c>
      <c r="R114" s="21">
        <v>493.88</v>
      </c>
      <c r="S114" s="21">
        <v>321.76</v>
      </c>
      <c r="T114" s="21">
        <v>165.81</v>
      </c>
      <c r="U114" s="21">
        <v>227.92</v>
      </c>
    </row>
    <row r="115" ht="15.75" customHeight="1">
      <c r="A115" s="16">
        <v>46082.0</v>
      </c>
      <c r="B115" s="20">
        <f t="shared" si="1"/>
        <v>521</v>
      </c>
      <c r="C115" s="20">
        <v>215.0</v>
      </c>
      <c r="D115" s="21">
        <v>160650.0</v>
      </c>
      <c r="E115" s="20">
        <v>306.0</v>
      </c>
      <c r="F115" s="21">
        <v>175330.0</v>
      </c>
      <c r="G115" s="21">
        <f t="shared" si="2"/>
        <v>335980</v>
      </c>
      <c r="H115" s="20">
        <v>0.0</v>
      </c>
      <c r="I115" s="20">
        <v>0.0</v>
      </c>
      <c r="J115" s="21">
        <v>178.0</v>
      </c>
      <c r="K115" s="21">
        <v>8925.0</v>
      </c>
      <c r="L115" s="21">
        <v>0.0</v>
      </c>
      <c r="M115" s="21">
        <v>27897.0</v>
      </c>
      <c r="N115" s="21">
        <v>146.4595316</v>
      </c>
      <c r="O115" s="21">
        <v>2593.72</v>
      </c>
      <c r="P115" s="21">
        <v>1832.0</v>
      </c>
      <c r="Q115" s="21">
        <v>81.99</v>
      </c>
      <c r="R115" s="21">
        <v>980.0508006</v>
      </c>
      <c r="S115" s="21">
        <v>639.8072129</v>
      </c>
      <c r="T115" s="21">
        <v>265.0</v>
      </c>
      <c r="U115" s="21">
        <v>209.67</v>
      </c>
    </row>
    <row r="116" ht="15.75" customHeight="1">
      <c r="A116" s="16">
        <v>46089.0</v>
      </c>
      <c r="B116" s="20">
        <f t="shared" si="1"/>
        <v>721</v>
      </c>
      <c r="C116" s="20">
        <v>340.0</v>
      </c>
      <c r="D116" s="21">
        <v>233209.0</v>
      </c>
      <c r="E116" s="20">
        <v>381.0</v>
      </c>
      <c r="F116" s="21">
        <v>187223.0</v>
      </c>
      <c r="G116" s="21">
        <f t="shared" si="2"/>
        <v>420432</v>
      </c>
      <c r="H116" s="20">
        <v>1.0</v>
      </c>
      <c r="I116" s="20">
        <v>0.0</v>
      </c>
      <c r="J116" s="21">
        <v>178.0</v>
      </c>
      <c r="K116" s="21">
        <v>11063.0</v>
      </c>
      <c r="L116" s="21">
        <v>0.0</v>
      </c>
      <c r="M116" s="21">
        <v>0.0</v>
      </c>
      <c r="N116" s="21">
        <v>126.104363</v>
      </c>
      <c r="O116" s="21">
        <v>3276.76</v>
      </c>
      <c r="P116" s="21">
        <v>2483.88</v>
      </c>
      <c r="Q116" s="21">
        <v>50.18</v>
      </c>
      <c r="R116" s="21">
        <v>665.7205979</v>
      </c>
      <c r="S116" s="21">
        <v>219.6295966</v>
      </c>
      <c r="T116" s="21">
        <v>280.0</v>
      </c>
      <c r="U116" s="21">
        <v>144.43</v>
      </c>
    </row>
    <row r="117" ht="15.75" customHeight="1">
      <c r="A117" s="16">
        <v>46096.0</v>
      </c>
      <c r="B117" s="20">
        <f t="shared" si="1"/>
        <v>710</v>
      </c>
      <c r="C117" s="20">
        <v>321.0</v>
      </c>
      <c r="D117" s="21">
        <v>203254.0</v>
      </c>
      <c r="E117" s="20">
        <v>389.0</v>
      </c>
      <c r="F117" s="21">
        <v>216269.0</v>
      </c>
      <c r="G117" s="21">
        <f t="shared" si="2"/>
        <v>419523</v>
      </c>
      <c r="H117" s="20">
        <v>0.0</v>
      </c>
      <c r="I117" s="20">
        <v>0.0</v>
      </c>
      <c r="J117" s="21">
        <v>178.0</v>
      </c>
      <c r="K117" s="21">
        <v>11063.0</v>
      </c>
      <c r="L117" s="21">
        <v>0.0</v>
      </c>
      <c r="M117" s="21">
        <v>0.0</v>
      </c>
      <c r="N117" s="21">
        <v>113.6803646</v>
      </c>
      <c r="O117" s="21">
        <v>1590.0</v>
      </c>
      <c r="P117" s="21">
        <v>1437.17</v>
      </c>
      <c r="Q117" s="21">
        <v>2.43</v>
      </c>
      <c r="R117" s="21">
        <v>702.0316372</v>
      </c>
      <c r="S117" s="21">
        <v>202.5038494</v>
      </c>
      <c r="T117" s="21">
        <v>181.24</v>
      </c>
      <c r="U117" s="21">
        <v>111.35</v>
      </c>
    </row>
    <row r="118" ht="15.75" customHeight="1">
      <c r="A118" s="16">
        <v>46103.0</v>
      </c>
      <c r="B118" s="20">
        <f t="shared" si="1"/>
        <v>728</v>
      </c>
      <c r="C118" s="20">
        <v>327.0</v>
      </c>
      <c r="D118" s="21">
        <v>212710.0</v>
      </c>
      <c r="E118" s="20">
        <v>401.0</v>
      </c>
      <c r="F118" s="21">
        <v>209894.0</v>
      </c>
      <c r="G118" s="21">
        <f t="shared" si="2"/>
        <v>422604</v>
      </c>
      <c r="H118" s="20">
        <v>1.0</v>
      </c>
      <c r="I118" s="20">
        <v>0.0</v>
      </c>
      <c r="J118" s="21">
        <v>178.0</v>
      </c>
      <c r="K118" s="21">
        <v>11063.0</v>
      </c>
      <c r="L118" s="21">
        <v>0.0</v>
      </c>
      <c r="M118" s="21">
        <v>2888.0</v>
      </c>
      <c r="N118" s="21">
        <v>173.7990131</v>
      </c>
      <c r="O118" s="21">
        <v>1923.3</v>
      </c>
      <c r="P118" s="21">
        <v>2041.26</v>
      </c>
      <c r="Q118" s="21">
        <v>2.27</v>
      </c>
      <c r="R118" s="21">
        <v>958.9900055</v>
      </c>
      <c r="S118" s="21">
        <v>237.4635525</v>
      </c>
      <c r="T118" s="21">
        <v>180.59</v>
      </c>
      <c r="U118" s="21">
        <v>144.45</v>
      </c>
    </row>
    <row r="119" ht="15.75" customHeight="1">
      <c r="A119" s="16">
        <v>46110.0</v>
      </c>
      <c r="B119" s="20">
        <f t="shared" si="1"/>
        <v>764</v>
      </c>
      <c r="C119" s="20">
        <v>289.0</v>
      </c>
      <c r="D119" s="21">
        <v>187898.0</v>
      </c>
      <c r="E119" s="20">
        <v>475.0</v>
      </c>
      <c r="F119" s="21">
        <v>259351.0</v>
      </c>
      <c r="G119" s="21">
        <f t="shared" si="2"/>
        <v>447249</v>
      </c>
      <c r="H119" s="20">
        <v>0.0</v>
      </c>
      <c r="I119" s="20">
        <v>0.0</v>
      </c>
      <c r="J119" s="21">
        <v>178.0</v>
      </c>
      <c r="K119" s="21">
        <v>6274.0</v>
      </c>
      <c r="L119" s="21">
        <v>0.0</v>
      </c>
      <c r="M119" s="21">
        <v>1037.0</v>
      </c>
      <c r="N119" s="21">
        <v>316.1761183</v>
      </c>
      <c r="O119" s="21">
        <v>1564.85</v>
      </c>
      <c r="P119" s="21">
        <v>2338.14</v>
      </c>
      <c r="Q119" s="21">
        <v>1.94</v>
      </c>
      <c r="R119" s="21">
        <v>690.939073</v>
      </c>
      <c r="S119" s="21">
        <v>398.9015862</v>
      </c>
      <c r="T119" s="21">
        <v>115.07</v>
      </c>
      <c r="U119" s="21">
        <v>102.16</v>
      </c>
    </row>
    <row r="120" ht="15.75" customHeight="1">
      <c r="A120" s="16">
        <v>46117.0</v>
      </c>
      <c r="B120" s="20">
        <f t="shared" si="1"/>
        <v>629</v>
      </c>
      <c r="C120" s="20">
        <v>296.0</v>
      </c>
      <c r="D120" s="21">
        <v>176921.0</v>
      </c>
      <c r="E120" s="20">
        <v>333.0</v>
      </c>
      <c r="F120" s="21">
        <v>158367.0</v>
      </c>
      <c r="G120" s="21">
        <f t="shared" si="2"/>
        <v>335288</v>
      </c>
      <c r="H120" s="20">
        <v>0.0</v>
      </c>
      <c r="I120" s="20">
        <v>0.0</v>
      </c>
      <c r="J120" s="21">
        <v>178.0</v>
      </c>
      <c r="K120" s="21">
        <v>6274.0</v>
      </c>
      <c r="L120" s="21">
        <v>0.0</v>
      </c>
      <c r="M120" s="21">
        <v>1037.0</v>
      </c>
      <c r="N120" s="21">
        <v>209.5241788</v>
      </c>
      <c r="O120" s="21">
        <v>1750.95</v>
      </c>
      <c r="P120" s="21">
        <v>2231.05</v>
      </c>
      <c r="Q120" s="21">
        <v>7.39</v>
      </c>
      <c r="R120" s="21">
        <v>864.1239668</v>
      </c>
      <c r="S120" s="21">
        <v>281.59814</v>
      </c>
      <c r="T120" s="21">
        <v>175.0</v>
      </c>
      <c r="U120" s="21">
        <v>212.38</v>
      </c>
    </row>
    <row r="121" ht="15.75" customHeight="1">
      <c r="A121" s="16">
        <v>46124.0</v>
      </c>
      <c r="B121" s="20">
        <f t="shared" si="1"/>
        <v>584</v>
      </c>
      <c r="C121" s="20">
        <v>250.0</v>
      </c>
      <c r="D121" s="21">
        <v>156329.0</v>
      </c>
      <c r="E121" s="20">
        <v>334.0</v>
      </c>
      <c r="F121" s="21">
        <v>152977.0</v>
      </c>
      <c r="G121" s="21">
        <f t="shared" si="2"/>
        <v>309306</v>
      </c>
      <c r="H121" s="20">
        <v>1.0</v>
      </c>
      <c r="I121" s="20">
        <v>0.0</v>
      </c>
      <c r="J121" s="21">
        <v>178.0</v>
      </c>
      <c r="K121" s="21">
        <v>6274.0</v>
      </c>
      <c r="L121" s="21">
        <v>0.0</v>
      </c>
      <c r="M121" s="21">
        <v>1037.0</v>
      </c>
      <c r="N121" s="21">
        <v>205.748847</v>
      </c>
      <c r="O121" s="21">
        <v>1776.03</v>
      </c>
      <c r="P121" s="21">
        <v>2269.44</v>
      </c>
      <c r="Q121" s="21">
        <v>6.83</v>
      </c>
      <c r="R121" s="21">
        <v>762.1451466</v>
      </c>
      <c r="S121" s="21">
        <v>172.66</v>
      </c>
      <c r="T121" s="21">
        <v>145.05</v>
      </c>
      <c r="U121" s="21">
        <v>216.84</v>
      </c>
    </row>
    <row r="122" ht="15.75" customHeight="1">
      <c r="A122" s="16">
        <v>46131.0</v>
      </c>
      <c r="B122" s="20">
        <f t="shared" si="1"/>
        <v>559</v>
      </c>
      <c r="C122" s="20">
        <v>259.0</v>
      </c>
      <c r="D122" s="21">
        <v>189273.0</v>
      </c>
      <c r="E122" s="20">
        <v>300.0</v>
      </c>
      <c r="F122" s="21">
        <v>153814.0</v>
      </c>
      <c r="G122" s="21">
        <f t="shared" si="2"/>
        <v>343087</v>
      </c>
      <c r="H122" s="20">
        <v>0.0</v>
      </c>
      <c r="I122" s="20">
        <v>1.0</v>
      </c>
      <c r="J122" s="21">
        <v>178.0</v>
      </c>
      <c r="K122" s="21">
        <v>6086.0</v>
      </c>
      <c r="L122" s="21">
        <v>0.0</v>
      </c>
      <c r="M122" s="21">
        <v>1037.0</v>
      </c>
      <c r="N122" s="21">
        <v>165.7383107</v>
      </c>
      <c r="O122" s="21">
        <v>1422.19</v>
      </c>
      <c r="P122" s="21">
        <v>1894.04</v>
      </c>
      <c r="Q122" s="21">
        <v>13.04</v>
      </c>
      <c r="R122" s="21">
        <v>823.5790414</v>
      </c>
      <c r="S122" s="21">
        <v>164.04</v>
      </c>
      <c r="T122" s="21">
        <v>140.0</v>
      </c>
      <c r="U122" s="21">
        <v>184.36</v>
      </c>
    </row>
    <row r="123" ht="15.75" customHeight="1">
      <c r="A123" s="16">
        <v>46138.0</v>
      </c>
      <c r="B123" s="20">
        <f t="shared" si="1"/>
        <v>606</v>
      </c>
      <c r="C123" s="20">
        <v>267.0</v>
      </c>
      <c r="D123" s="21">
        <v>193591.0</v>
      </c>
      <c r="E123" s="20">
        <v>339.0</v>
      </c>
      <c r="F123" s="21">
        <v>185648.0</v>
      </c>
      <c r="G123" s="21">
        <f t="shared" si="2"/>
        <v>379239</v>
      </c>
      <c r="H123" s="20">
        <v>0.0</v>
      </c>
      <c r="I123" s="20">
        <v>1.0</v>
      </c>
      <c r="J123" s="21">
        <v>178.0</v>
      </c>
      <c r="K123" s="21">
        <v>6090.0</v>
      </c>
      <c r="L123" s="21">
        <v>0.0</v>
      </c>
      <c r="M123" s="21">
        <v>1037.0</v>
      </c>
      <c r="N123" s="21">
        <v>144.7233002</v>
      </c>
      <c r="O123" s="21">
        <v>1255.9</v>
      </c>
      <c r="P123" s="21">
        <v>1833.09</v>
      </c>
      <c r="Q123" s="21">
        <v>587.9</v>
      </c>
      <c r="R123" s="21">
        <v>950.51</v>
      </c>
      <c r="S123" s="21">
        <v>167.08</v>
      </c>
      <c r="T123" s="21">
        <v>1247.61</v>
      </c>
      <c r="U123" s="21">
        <v>202.51</v>
      </c>
    </row>
    <row r="124" ht="15.75" customHeight="1">
      <c r="A124" s="16">
        <v>46145.0</v>
      </c>
      <c r="B124" s="20">
        <f t="shared" si="1"/>
        <v>733</v>
      </c>
      <c r="C124" s="20">
        <v>365.0</v>
      </c>
      <c r="D124" s="21">
        <v>237883.0</v>
      </c>
      <c r="E124" s="20">
        <v>368.0</v>
      </c>
      <c r="F124" s="21">
        <v>201203.0</v>
      </c>
      <c r="G124" s="21">
        <f t="shared" si="2"/>
        <v>439086</v>
      </c>
      <c r="H124" s="20">
        <v>1.0</v>
      </c>
      <c r="I124" s="20">
        <v>0.0</v>
      </c>
      <c r="J124" s="21">
        <v>178.0</v>
      </c>
      <c r="K124" s="21">
        <v>6090.0</v>
      </c>
      <c r="L124" s="21">
        <v>0.0</v>
      </c>
      <c r="M124" s="21">
        <v>0.0</v>
      </c>
      <c r="N124" s="21">
        <v>266.4421018</v>
      </c>
      <c r="O124" s="21">
        <v>2482.4</v>
      </c>
      <c r="P124" s="21">
        <v>2152.95</v>
      </c>
      <c r="Q124" s="21">
        <v>1192.56</v>
      </c>
      <c r="R124" s="21">
        <v>930.71</v>
      </c>
      <c r="S124" s="21">
        <v>140.84</v>
      </c>
      <c r="T124" s="21">
        <v>1004.08</v>
      </c>
      <c r="U124" s="21">
        <v>91.25</v>
      </c>
    </row>
    <row r="125" ht="15.75" customHeight="1">
      <c r="A125" s="16">
        <v>46152.0</v>
      </c>
      <c r="B125" s="20">
        <f t="shared" si="1"/>
        <v>763</v>
      </c>
      <c r="C125" s="20">
        <v>386.0</v>
      </c>
      <c r="D125" s="21">
        <v>246544.0</v>
      </c>
      <c r="E125" s="20">
        <v>377.0</v>
      </c>
      <c r="F125" s="21">
        <v>188938.0</v>
      </c>
      <c r="G125" s="21">
        <f t="shared" si="2"/>
        <v>435482</v>
      </c>
      <c r="H125" s="20">
        <v>0.0</v>
      </c>
      <c r="I125" s="20">
        <v>0.0</v>
      </c>
      <c r="J125" s="21">
        <v>178.0</v>
      </c>
      <c r="K125" s="21">
        <v>6090.0</v>
      </c>
      <c r="L125" s="21">
        <v>0.0</v>
      </c>
      <c r="M125" s="21">
        <v>0.0</v>
      </c>
      <c r="N125" s="21">
        <v>209.6174399</v>
      </c>
      <c r="O125" s="21">
        <v>3233.11</v>
      </c>
      <c r="P125" s="21">
        <v>2547.44</v>
      </c>
      <c r="Q125" s="21">
        <v>2003.69</v>
      </c>
      <c r="R125" s="21">
        <v>1193.91</v>
      </c>
      <c r="S125" s="21">
        <v>565.22</v>
      </c>
      <c r="T125" s="21">
        <v>1425.8</v>
      </c>
      <c r="U125" s="21">
        <v>53.28</v>
      </c>
    </row>
    <row r="126" ht="15.75" customHeight="1">
      <c r="A126" s="16">
        <v>46159.0</v>
      </c>
      <c r="B126" s="20">
        <f t="shared" si="1"/>
        <v>821</v>
      </c>
      <c r="C126" s="20">
        <v>417.0</v>
      </c>
      <c r="D126" s="21">
        <v>279367.0</v>
      </c>
      <c r="E126" s="20">
        <v>404.0</v>
      </c>
      <c r="F126" s="21">
        <v>200347.0</v>
      </c>
      <c r="G126" s="21">
        <f t="shared" si="2"/>
        <v>479714</v>
      </c>
      <c r="H126" s="20">
        <v>1.0</v>
      </c>
      <c r="I126" s="20">
        <v>0.0</v>
      </c>
      <c r="J126" s="21">
        <v>178.0</v>
      </c>
      <c r="K126" s="21">
        <v>6090.0</v>
      </c>
      <c r="L126" s="21">
        <v>0.0</v>
      </c>
      <c r="M126" s="21">
        <v>0.0</v>
      </c>
      <c r="N126" s="21">
        <v>208.8648846</v>
      </c>
      <c r="O126" s="21">
        <v>5059.67</v>
      </c>
      <c r="P126" s="21">
        <v>2877.95</v>
      </c>
      <c r="Q126" s="21">
        <v>2717.77</v>
      </c>
      <c r="R126" s="21">
        <v>2472.56</v>
      </c>
      <c r="S126" s="21">
        <v>737.41</v>
      </c>
      <c r="T126" s="21">
        <v>1102.43</v>
      </c>
      <c r="U126" s="21">
        <v>44.11</v>
      </c>
    </row>
    <row r="127" ht="15.75" customHeight="1">
      <c r="A127" s="16">
        <v>46166.0</v>
      </c>
      <c r="B127" s="20">
        <f t="shared" si="1"/>
        <v>903</v>
      </c>
      <c r="C127" s="20">
        <v>414.0</v>
      </c>
      <c r="D127" s="21">
        <v>282537.32</v>
      </c>
      <c r="E127" s="20">
        <v>489.0</v>
      </c>
      <c r="F127" s="21">
        <v>250073.22</v>
      </c>
      <c r="G127" s="21">
        <f t="shared" si="2"/>
        <v>532610.54</v>
      </c>
      <c r="H127" s="20">
        <v>0.0</v>
      </c>
      <c r="I127" s="20">
        <v>1.0</v>
      </c>
      <c r="J127" s="21">
        <v>178.0</v>
      </c>
      <c r="K127" s="21">
        <v>4115.0</v>
      </c>
      <c r="L127" s="21">
        <v>0.0</v>
      </c>
      <c r="M127" s="21">
        <v>32860.0</v>
      </c>
      <c r="N127" s="21">
        <v>262.7675</v>
      </c>
      <c r="O127" s="21">
        <v>4365.54</v>
      </c>
      <c r="P127" s="21">
        <v>3441.9909</v>
      </c>
      <c r="Q127" s="21">
        <v>2116.9312</v>
      </c>
      <c r="R127" s="21">
        <v>2736.743155</v>
      </c>
      <c r="S127" s="21">
        <v>844.062255</v>
      </c>
      <c r="T127" s="21">
        <v>1072.679955</v>
      </c>
      <c r="U127" s="21">
        <v>58.359955</v>
      </c>
    </row>
    <row r="128" ht="15.75" customHeight="1">
      <c r="A128" s="16">
        <v>46173.0</v>
      </c>
      <c r="B128" s="20">
        <f t="shared" si="1"/>
        <v>985</v>
      </c>
      <c r="C128" s="20">
        <v>548.0</v>
      </c>
      <c r="D128" s="21">
        <v>334270.93</v>
      </c>
      <c r="E128" s="20">
        <v>437.0</v>
      </c>
      <c r="F128" s="21">
        <v>201293.21</v>
      </c>
      <c r="G128" s="21">
        <f t="shared" si="2"/>
        <v>535564.14</v>
      </c>
      <c r="H128" s="20">
        <v>1.0</v>
      </c>
      <c r="I128" s="20">
        <v>0.0</v>
      </c>
      <c r="J128" s="21">
        <v>178.0</v>
      </c>
      <c r="K128" s="21">
        <v>914.0</v>
      </c>
      <c r="L128" s="21">
        <v>0.0</v>
      </c>
      <c r="M128" s="21">
        <v>9004.0</v>
      </c>
      <c r="N128" s="21">
        <v>367.7289</v>
      </c>
      <c r="O128" s="21">
        <v>5924.44</v>
      </c>
      <c r="P128" s="21">
        <v>3281.3752</v>
      </c>
      <c r="Q128" s="21">
        <v>1988.0178</v>
      </c>
      <c r="R128" s="21">
        <v>3305.537555</v>
      </c>
      <c r="S128" s="21">
        <v>394.166955</v>
      </c>
      <c r="T128" s="21">
        <v>928.189955</v>
      </c>
      <c r="U128" s="21">
        <v>21.799955</v>
      </c>
    </row>
    <row r="129" ht="15.75" customHeight="1">
      <c r="A129" s="16">
        <v>46180.0</v>
      </c>
      <c r="B129" s="20">
        <f t="shared" si="1"/>
        <v>1041</v>
      </c>
      <c r="C129" s="20">
        <v>575.0</v>
      </c>
      <c r="D129" s="21">
        <v>322239.63</v>
      </c>
      <c r="E129" s="20">
        <v>466.0</v>
      </c>
      <c r="F129" s="21">
        <v>257347.55</v>
      </c>
      <c r="G129" s="21">
        <f t="shared" si="2"/>
        <v>579587.18</v>
      </c>
      <c r="H129" s="20">
        <v>1.0</v>
      </c>
      <c r="I129" s="20">
        <v>0.0</v>
      </c>
      <c r="J129" s="21">
        <v>178.0</v>
      </c>
      <c r="K129" s="21">
        <v>4243.0</v>
      </c>
      <c r="L129" s="21">
        <v>0.0</v>
      </c>
      <c r="M129" s="21">
        <v>0.0</v>
      </c>
      <c r="N129" s="21">
        <v>222.9364</v>
      </c>
      <c r="O129" s="21">
        <v>4469.99</v>
      </c>
      <c r="P129" s="21">
        <v>2496.8963</v>
      </c>
      <c r="Q129" s="21">
        <v>704.0993</v>
      </c>
      <c r="R129" s="21">
        <v>3316.189755</v>
      </c>
      <c r="S129" s="21">
        <v>595.787955</v>
      </c>
      <c r="T129" s="21">
        <v>788.109955</v>
      </c>
      <c r="U129" s="21">
        <v>70.889955</v>
      </c>
    </row>
    <row r="130" ht="15.75" customHeight="1">
      <c r="A130" s="16">
        <v>46187.0</v>
      </c>
      <c r="B130" s="20">
        <f t="shared" si="1"/>
        <v>1216</v>
      </c>
      <c r="C130" s="20">
        <v>632.0</v>
      </c>
      <c r="D130" s="21">
        <v>380032.59</v>
      </c>
      <c r="E130" s="20">
        <v>584.0</v>
      </c>
      <c r="F130" s="21">
        <v>271214.84</v>
      </c>
      <c r="G130" s="21">
        <f t="shared" si="2"/>
        <v>651247.43</v>
      </c>
      <c r="H130" s="20">
        <v>1.0</v>
      </c>
      <c r="I130" s="20">
        <v>0.0</v>
      </c>
      <c r="J130" s="21">
        <v>178.0</v>
      </c>
      <c r="K130" s="21">
        <v>4243.0</v>
      </c>
      <c r="L130" s="21">
        <v>0.0</v>
      </c>
      <c r="M130" s="21">
        <v>0.0</v>
      </c>
      <c r="N130" s="21">
        <v>203.1362</v>
      </c>
      <c r="O130" s="21">
        <v>4274.11</v>
      </c>
      <c r="P130" s="21">
        <v>2768.9062</v>
      </c>
      <c r="Q130" s="21">
        <v>542.0098</v>
      </c>
      <c r="R130" s="21">
        <v>1977.593155</v>
      </c>
      <c r="S130" s="21">
        <v>521.443155</v>
      </c>
      <c r="T130" s="21">
        <v>534.189955</v>
      </c>
      <c r="U130" s="21">
        <v>77.179955</v>
      </c>
    </row>
    <row r="131" ht="15.75" customHeight="1">
      <c r="A131" s="16">
        <v>46194.0</v>
      </c>
      <c r="B131" s="20">
        <f t="shared" si="1"/>
        <v>1151</v>
      </c>
      <c r="C131" s="20">
        <v>589.0</v>
      </c>
      <c r="D131" s="21">
        <v>314196.67</v>
      </c>
      <c r="E131" s="20">
        <v>562.0</v>
      </c>
      <c r="F131" s="21">
        <v>290108.11</v>
      </c>
      <c r="G131" s="21">
        <f t="shared" si="2"/>
        <v>604304.78</v>
      </c>
      <c r="H131" s="20">
        <v>1.0</v>
      </c>
      <c r="I131" s="20">
        <v>0.0</v>
      </c>
      <c r="J131" s="21">
        <v>178.0</v>
      </c>
      <c r="K131" s="21">
        <v>4243.0</v>
      </c>
      <c r="L131" s="21">
        <v>0.0</v>
      </c>
      <c r="M131" s="21">
        <v>6296.0</v>
      </c>
      <c r="N131" s="21">
        <v>303.337</v>
      </c>
      <c r="O131" s="21">
        <v>4339.11</v>
      </c>
      <c r="P131" s="21">
        <v>3565.5211</v>
      </c>
      <c r="Q131" s="21">
        <v>327.069</v>
      </c>
      <c r="R131" s="21">
        <v>2810.878655</v>
      </c>
      <c r="S131" s="21">
        <v>450.461755</v>
      </c>
      <c r="T131" s="21">
        <v>490.549955</v>
      </c>
      <c r="U131" s="21">
        <v>35.819955</v>
      </c>
    </row>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U$131"/>
  <printOptions/>
  <pageMargins bottom="1.0" footer="0.0" header="0.0" left="0.75" right="0.75" top="1.0"/>
  <pageSetup paperSize="9" orientation="portrait"/>
  <drawing r:id="rId1"/>
</worksheet>
</file>